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s426\OneDrive - University of Exeter\!Work\Work.2026\Teaching\PHY1035\Thermo 2 absolute zero\"/>
    </mc:Choice>
  </mc:AlternateContent>
  <xr:revisionPtr revIDLastSave="0" documentId="13_ncr:1_{37531132-5506-4A18-9926-42B27291E561}" xr6:coauthVersionLast="47" xr6:coauthVersionMax="47" xr10:uidLastSave="{00000000-0000-0000-0000-000000000000}"/>
  <bookViews>
    <workbookView xWindow="2100" yWindow="915" windowWidth="24795" windowHeight="15285" xr2:uid="{108D0CE0-156D-4112-B4A5-19D8EBE2D7AA}"/>
  </bookViews>
  <sheets>
    <sheet name="2026-09-04__14-31-11_full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1" l="1"/>
  <c r="N3" i="1"/>
  <c r="N4" i="1"/>
  <c r="N5" i="1"/>
  <c r="N6" i="1"/>
  <c r="N7" i="1"/>
  <c r="N8" i="1"/>
  <c r="N9" i="1"/>
  <c r="M3" i="1"/>
  <c r="M4" i="1"/>
  <c r="M5" i="1"/>
  <c r="M6" i="1"/>
  <c r="M7" i="1"/>
  <c r="M8" i="1"/>
  <c r="M9" i="1"/>
  <c r="M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2" i="1"/>
  <c r="N13" i="1" l="1"/>
  <c r="N15" i="1"/>
  <c r="N16" i="1"/>
  <c r="N12" i="1"/>
</calcChain>
</file>

<file path=xl/sharedStrings.xml><?xml version="1.0" encoding="utf-8"?>
<sst xmlns="http://schemas.openxmlformats.org/spreadsheetml/2006/main" count="9" uniqueCount="9">
  <si>
    <t>Plateau</t>
  </si>
  <si>
    <t>Gradient (m)</t>
  </si>
  <si>
    <t>Y-intercept (c)</t>
  </si>
  <si>
    <t xml:space="preserve">Uncertainty on gradient </t>
  </si>
  <si>
    <t>Uncertainty on y-intercept</t>
  </si>
  <si>
    <t>t_start (s)</t>
  </si>
  <si>
    <t>t_end (s)</t>
  </si>
  <si>
    <t>P_mean (Pa)</t>
  </si>
  <si>
    <r>
      <t>T_mean (</t>
    </r>
    <r>
      <rPr>
        <b/>
        <sz val="11"/>
        <color theme="1"/>
        <rFont val="Aptos Narrow"/>
        <family val="2"/>
      </rPr>
      <t>°C)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</si>
</sst>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6" fillId="0" borderId="0" xfId="0" applyFont="1"/>
    <xf numFmtId="2" fontId="0" fillId="0" borderId="0" xfId="0" applyNumberFormat="1"/>
    <xf numFmtId="0" fontId="0" fillId="33" borderId="0" xfId="0" applyFill="1"/>
    <xf numFmtId="2" fontId="0" fillId="33" borderId="0" xfId="0" applyNumberFormat="1" applyFill="1"/>
    <xf numFmtId="0" fontId="0" fillId="34" borderId="0" xfId="0" applyFill="1"/>
    <xf numFmtId="2" fontId="0" fillId="34" borderId="0" xfId="0" applyNumberFormat="1" applyFill="1"/>
    <xf numFmtId="0" fontId="0" fillId="35" borderId="0" xfId="0" applyFill="1"/>
    <xf numFmtId="2" fontId="0" fillId="35" borderId="0" xfId="0" applyNumberFormat="1" applyFill="1"/>
    <xf numFmtId="0" fontId="0" fillId="36" borderId="0" xfId="0" applyFill="1"/>
    <xf numFmtId="2" fontId="0" fillId="36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'2026-09-04__14-31-11_full'!$B$1</c:f>
              <c:strCache>
                <c:ptCount val="1"/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'2026-09-04__14-31-11_full'!$A$2:$A$967</c:f>
              <c:numCache>
                <c:formatCode>General</c:formatCode>
                <c:ptCount val="966"/>
              </c:numCache>
            </c:numRef>
          </c:xVal>
          <c:yVal>
            <c:numRef>
              <c:f>'2026-09-04__14-31-11_full'!$B$2:$B$967</c:f>
              <c:numCache>
                <c:formatCode>General</c:formatCode>
                <c:ptCount val="96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D4-4AD4-8B0B-7854CB983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09568"/>
        <c:axId val="171158144"/>
      </c:scatterChart>
      <c:valAx>
        <c:axId val="111709568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58144"/>
        <c:crosses val="autoZero"/>
        <c:crossBetween val="midCat"/>
      </c:valAx>
      <c:valAx>
        <c:axId val="17115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Temperature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0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Pressure vs</a:t>
            </a:r>
            <a:r>
              <a:rPr lang="en-US" baseline="0"/>
              <a:t> time plot showing plateau regions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'2026-09-04__14-31-11_full'!$C$1</c:f>
              <c:strCache>
                <c:ptCount val="1"/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'2026-09-04__14-31-11_full'!$A$2:$A$967</c:f>
              <c:numCache>
                <c:formatCode>General</c:formatCode>
                <c:ptCount val="966"/>
              </c:numCache>
            </c:numRef>
          </c:xVal>
          <c:yVal>
            <c:numRef>
              <c:f>'2026-09-04__14-31-11_full'!$G$2:$G$967</c:f>
              <c:numCache>
                <c:formatCode>General</c:formatCode>
                <c:ptCount val="9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46-419B-AC1E-2E528D147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09568"/>
        <c:axId val="171158144"/>
      </c:scatterChart>
      <c:valAx>
        <c:axId val="111709568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800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58144"/>
        <c:crosses val="autoZero"/>
        <c:crossBetween val="midCat"/>
      </c:valAx>
      <c:valAx>
        <c:axId val="17115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800"/>
                  <a:t>Pressure (Pa)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25193678915135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0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</a:rPr>
              <a:t>Pressure vs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38100" cap="rnd">
                <a:solidFill>
                  <a:srgbClr val="FFFF00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1.9528311839293187E-2"/>
                  <c:y val="-0.1185132809835324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 baseline="0">
                        <a:solidFill>
                          <a:schemeClr val="bg1"/>
                        </a:solidFill>
                      </a:rPr>
                      <a:t>y = 365.73x + 93555</a:t>
                    </a:r>
                    <a:br>
                      <a:rPr lang="en-US" b="1" baseline="0">
                        <a:solidFill>
                          <a:schemeClr val="bg1"/>
                        </a:solidFill>
                      </a:rPr>
                    </a:br>
                    <a:r>
                      <a:rPr lang="en-US" b="1" baseline="0">
                        <a:solidFill>
                          <a:schemeClr val="bg1"/>
                        </a:solidFill>
                      </a:rPr>
                      <a:t>R² = 0.9927</a:t>
                    </a:r>
                    <a:endParaRPr lang="en-US" b="1">
                      <a:solidFill>
                        <a:schemeClr val="bg1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'2026-09-04__14-31-11_full'!$M$2:$M$9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'2026-09-04__14-31-11_full'!$N$2:$N$9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9-425A-97E7-1359F6CF0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4320"/>
        <c:axId val="393384160"/>
      </c:scatterChart>
      <c:valAx>
        <c:axId val="11176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 b="1">
                    <a:solidFill>
                      <a:schemeClr val="bg1"/>
                    </a:solidFill>
                  </a:rPr>
                  <a:t>Temperature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384160"/>
        <c:crosses val="autoZero"/>
        <c:crossBetween val="midCat"/>
      </c:valAx>
      <c:valAx>
        <c:axId val="39338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 b="1">
                    <a:solidFill>
                      <a:schemeClr val="bg1"/>
                    </a:solidFill>
                  </a:rPr>
                  <a:t>Pressure (Pa)</a:t>
                </a:r>
              </a:p>
            </c:rich>
          </c:tx>
          <c:layout>
            <c:manualLayout>
              <c:xMode val="edge"/>
              <c:yMode val="edge"/>
              <c:x val="8.8819785075702432E-3"/>
              <c:y val="0.308292258832044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64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304239</xdr:colOff>
      <xdr:row>27</xdr:row>
      <xdr:rowOff>98053</xdr:rowOff>
    </xdr:from>
    <xdr:to>
      <xdr:col>11</xdr:col>
      <xdr:colOff>33618</xdr:colOff>
      <xdr:row>43</xdr:row>
      <xdr:rowOff>100853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686428-70FA-7E1C-6B0E-38B971A25F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291353</xdr:colOff>
      <xdr:row>10</xdr:row>
      <xdr:rowOff>35858</xdr:rowOff>
    </xdr:from>
    <xdr:to>
      <xdr:col>11</xdr:col>
      <xdr:colOff>26335</xdr:colOff>
      <xdr:row>27</xdr:row>
      <xdr:rowOff>44823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B828C0A-5F2A-476E-A8DE-DA1BB75781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407335</xdr:colOff>
      <xdr:row>18</xdr:row>
      <xdr:rowOff>100853</xdr:rowOff>
    </xdr:from>
    <xdr:to>
      <xdr:col>19</xdr:col>
      <xdr:colOff>324970</xdr:colOff>
      <xdr:row>37</xdr:row>
      <xdr:rowOff>134471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9E9111-9903-A4B8-350D-5C78EBE3F2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12</xdr:col>
      <xdr:colOff>1577801</xdr:colOff>
      <xdr:row>13</xdr:row>
      <xdr:rowOff>186104</xdr:rowOff>
    </xdr:from>
    <xdr:ext cx="320216" cy="1737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115A0BBE-3D97-6579-12C7-6DAE73CB4EB9}"/>
                </a:ext>
              </a:extLst>
            </xdr:cNvPr>
            <xdr:cNvSpPr txBox="1"/>
          </xdr:nvSpPr>
          <xdr:spPr>
            <a:xfrm>
              <a:off x="9791072" y="2662604"/>
              <a:ext cx="320216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115A0BBE-3D97-6579-12C7-6DAE73CB4EB9}"/>
                </a:ext>
              </a:extLst>
            </xdr:cNvPr>
            <xdr:cNvSpPr txBox="1"/>
          </xdr:nvSpPr>
          <xdr:spPr>
            <a:xfrm>
              <a:off x="9791072" y="2662604"/>
              <a:ext cx="320216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〖</a:t>
              </a:r>
              <a:r>
                <a:rPr lang="en-GB" sz="1100" b="0" i="0">
                  <a:latin typeface="Cambria Math" panose="02040503050406030204" pitchFamily="18" charset="0"/>
                </a:rPr>
                <a:t>(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GB" sz="1100" b="0" i="0">
                  <a:latin typeface="Cambria Math" panose="02040503050406030204" pitchFamily="18" charset="0"/>
                </a:rPr>
                <a:t>𝑚)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12</xdr:col>
      <xdr:colOff>1627540</xdr:colOff>
      <xdr:row>14</xdr:row>
      <xdr:rowOff>186171</xdr:rowOff>
    </xdr:from>
    <xdr:ext cx="277447" cy="1737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7F25FEB-DFBF-4854-9A5B-44A5022E5C74}"/>
                </a:ext>
              </a:extLst>
            </xdr:cNvPr>
            <xdr:cNvSpPr txBox="1"/>
          </xdr:nvSpPr>
          <xdr:spPr>
            <a:xfrm>
              <a:off x="9840811" y="2853171"/>
              <a:ext cx="277447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7F25FEB-DFBF-4854-9A5B-44A5022E5C74}"/>
                </a:ext>
              </a:extLst>
            </xdr:cNvPr>
            <xdr:cNvSpPr txBox="1"/>
          </xdr:nvSpPr>
          <xdr:spPr>
            <a:xfrm>
              <a:off x="9840811" y="2853171"/>
              <a:ext cx="277447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〖</a:t>
              </a:r>
              <a:r>
                <a:rPr lang="en-GB" sz="1100" b="0" i="0">
                  <a:latin typeface="Cambria Math" panose="02040503050406030204" pitchFamily="18" charset="0"/>
                </a:rPr>
                <a:t>(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GB" sz="1100" b="0" i="0">
                  <a:latin typeface="Cambria Math" panose="02040503050406030204" pitchFamily="18" charset="0"/>
                </a:rPr>
                <a:t>𝑐)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D6631-CAB4-4F1D-B34A-F71BEA35F0B3}">
  <dimension ref="A1:R967"/>
  <sheetViews>
    <sheetView tabSelected="1" zoomScaleNormal="100" workbookViewId="0">
      <selection activeCell="L11" sqref="L11"/>
    </sheetView>
  </sheetViews>
  <sheetFormatPr defaultRowHeight="15" x14ac:dyDescent="0.25"/>
  <cols>
    <col min="1" max="1" width="7.140625" bestFit="1" customWidth="1"/>
    <col min="2" max="2" width="14.28515625" bestFit="1" customWidth="1"/>
    <col min="3" max="3" width="11.85546875" bestFit="1" customWidth="1"/>
    <col min="4" max="4" width="13.42578125" bestFit="1" customWidth="1"/>
    <col min="5" max="5" width="12.42578125" bestFit="1" customWidth="1"/>
    <col min="13" max="13" width="30.42578125" bestFit="1" customWidth="1"/>
    <col min="14" max="14" width="23.28515625" bestFit="1" customWidth="1"/>
  </cols>
  <sheetData>
    <row r="1" spans="1:18" x14ac:dyDescent="0.25">
      <c r="A1" s="1"/>
      <c r="B1" s="1"/>
      <c r="C1" s="1"/>
      <c r="D1" s="1"/>
      <c r="E1" s="1"/>
      <c r="F1" s="1"/>
      <c r="G1" s="1"/>
      <c r="H1" s="1"/>
      <c r="I1" s="1"/>
      <c r="J1" s="1" t="s">
        <v>0</v>
      </c>
      <c r="K1" s="1" t="s">
        <v>5</v>
      </c>
      <c r="L1" s="1" t="s">
        <v>6</v>
      </c>
      <c r="M1" s="1" t="s">
        <v>8</v>
      </c>
      <c r="N1" s="1" t="s">
        <v>7</v>
      </c>
    </row>
    <row r="2" spans="1:18" x14ac:dyDescent="0.25">
      <c r="G2">
        <f>IF(OR($F2="SETTLING",$F2="READY"),NA(),$C2)</f>
        <v>0</v>
      </c>
      <c r="H2" t="e">
        <f>IF($F2="SETTLING", $C2, NA())</f>
        <v>#N/A</v>
      </c>
      <c r="J2">
        <v>1</v>
      </c>
      <c r="M2" s="2" t="e">
        <f>AVERAGEIFS($B:$B,$A:$A,"&gt;="&amp;K2,$A:$A,"&lt;="&amp;L2,$F:$F,"HOLDING")</f>
        <v>#DIV/0!</v>
      </c>
      <c r="N2" s="2" t="e">
        <f>AVERAGEIFS($C:$C,$A:$A,"&gt;="&amp;K2,$A:$A,"&lt;="&amp;L2,$F:$F,"HOLDING")</f>
        <v>#DIV/0!</v>
      </c>
      <c r="Q2" s="1"/>
      <c r="R2" s="1"/>
    </row>
    <row r="3" spans="1:18" x14ac:dyDescent="0.25">
      <c r="G3">
        <f t="shared" ref="G3:G66" si="0">IF(OR($F3="SETTLING",$F3="READY"),NA(),$C3)</f>
        <v>0</v>
      </c>
      <c r="H3" t="e">
        <f t="shared" ref="H3:H66" si="1">IF($F3="SETTLING", $C3, NA())</f>
        <v>#N/A</v>
      </c>
      <c r="J3">
        <v>2</v>
      </c>
      <c r="M3" s="2" t="e">
        <f t="shared" ref="M3:M9" si="2">AVERAGEIFS($B:$B,$A:$A,"&gt;="&amp;K3,$A:$A,"&lt;="&amp;L3,$F:$F,"HOLDING")</f>
        <v>#DIV/0!</v>
      </c>
      <c r="N3" s="2" t="e">
        <f t="shared" ref="N3:N9" si="3">AVERAGEIFS($C:$C,$A:$A,"&gt;="&amp;K3,$A:$A,"&lt;="&amp;L3,$F:$F,"HOLDING")</f>
        <v>#DIV/0!</v>
      </c>
    </row>
    <row r="4" spans="1:18" x14ac:dyDescent="0.25">
      <c r="G4">
        <f t="shared" si="0"/>
        <v>0</v>
      </c>
      <c r="H4" t="e">
        <f t="shared" si="1"/>
        <v>#N/A</v>
      </c>
      <c r="J4">
        <v>3</v>
      </c>
      <c r="M4" s="2" t="e">
        <f t="shared" si="2"/>
        <v>#DIV/0!</v>
      </c>
      <c r="N4" s="2" t="e">
        <f t="shared" si="3"/>
        <v>#DIV/0!</v>
      </c>
    </row>
    <row r="5" spans="1:18" x14ac:dyDescent="0.25">
      <c r="G5">
        <f t="shared" si="0"/>
        <v>0</v>
      </c>
      <c r="H5" t="e">
        <f t="shared" si="1"/>
        <v>#N/A</v>
      </c>
      <c r="J5">
        <v>4</v>
      </c>
      <c r="M5" s="2" t="e">
        <f t="shared" si="2"/>
        <v>#DIV/0!</v>
      </c>
      <c r="N5" s="2" t="e">
        <f t="shared" si="3"/>
        <v>#DIV/0!</v>
      </c>
    </row>
    <row r="6" spans="1:18" x14ac:dyDescent="0.25">
      <c r="G6">
        <f t="shared" si="0"/>
        <v>0</v>
      </c>
      <c r="H6" t="e">
        <f t="shared" si="1"/>
        <v>#N/A</v>
      </c>
      <c r="J6">
        <v>5</v>
      </c>
      <c r="M6" s="2" t="e">
        <f t="shared" si="2"/>
        <v>#DIV/0!</v>
      </c>
      <c r="N6" s="2" t="e">
        <f t="shared" si="3"/>
        <v>#DIV/0!</v>
      </c>
    </row>
    <row r="7" spans="1:18" x14ac:dyDescent="0.25">
      <c r="G7">
        <f t="shared" si="0"/>
        <v>0</v>
      </c>
      <c r="H7" t="e">
        <f t="shared" si="1"/>
        <v>#N/A</v>
      </c>
      <c r="J7">
        <v>6</v>
      </c>
      <c r="M7" s="2" t="e">
        <f t="shared" si="2"/>
        <v>#DIV/0!</v>
      </c>
      <c r="N7" s="2" t="e">
        <f t="shared" si="3"/>
        <v>#DIV/0!</v>
      </c>
    </row>
    <row r="8" spans="1:18" x14ac:dyDescent="0.25">
      <c r="G8">
        <f t="shared" si="0"/>
        <v>0</v>
      </c>
      <c r="H8" t="e">
        <f t="shared" si="1"/>
        <v>#N/A</v>
      </c>
      <c r="J8">
        <v>7</v>
      </c>
      <c r="M8" s="2" t="e">
        <f t="shared" si="2"/>
        <v>#DIV/0!</v>
      </c>
      <c r="N8" s="2" t="e">
        <f t="shared" si="3"/>
        <v>#DIV/0!</v>
      </c>
    </row>
    <row r="9" spans="1:18" x14ac:dyDescent="0.25">
      <c r="G9">
        <f t="shared" si="0"/>
        <v>0</v>
      </c>
      <c r="H9" t="e">
        <f t="shared" si="1"/>
        <v>#N/A</v>
      </c>
      <c r="J9">
        <v>8</v>
      </c>
      <c r="M9" s="2" t="e">
        <f t="shared" si="2"/>
        <v>#DIV/0!</v>
      </c>
      <c r="N9" s="2" t="e">
        <f t="shared" si="3"/>
        <v>#DIV/0!</v>
      </c>
    </row>
    <row r="10" spans="1:18" x14ac:dyDescent="0.25">
      <c r="G10">
        <f t="shared" si="0"/>
        <v>0</v>
      </c>
      <c r="H10" t="e">
        <f t="shared" si="1"/>
        <v>#N/A</v>
      </c>
    </row>
    <row r="11" spans="1:18" x14ac:dyDescent="0.25">
      <c r="G11">
        <f t="shared" si="0"/>
        <v>0</v>
      </c>
      <c r="H11" t="e">
        <f t="shared" si="1"/>
        <v>#N/A</v>
      </c>
      <c r="N11" s="2"/>
    </row>
    <row r="12" spans="1:18" x14ac:dyDescent="0.25">
      <c r="G12">
        <f t="shared" si="0"/>
        <v>0</v>
      </c>
      <c r="H12" t="e">
        <f t="shared" si="1"/>
        <v>#N/A</v>
      </c>
      <c r="M12" s="9" t="s">
        <v>1</v>
      </c>
      <c r="N12" s="10" t="e">
        <f>SLOPE(N2:N9,M2:M9)</f>
        <v>#DIV/0!</v>
      </c>
    </row>
    <row r="13" spans="1:18" x14ac:dyDescent="0.25">
      <c r="G13">
        <f t="shared" si="0"/>
        <v>0</v>
      </c>
      <c r="H13" t="e">
        <f t="shared" si="1"/>
        <v>#N/A</v>
      </c>
      <c r="M13" s="3" t="s">
        <v>2</v>
      </c>
      <c r="N13" s="4" t="e">
        <f>INTERCEPT(N2:N9,M2:M9)</f>
        <v>#DIV/0!</v>
      </c>
    </row>
    <row r="14" spans="1:18" x14ac:dyDescent="0.25">
      <c r="G14">
        <f t="shared" si="0"/>
        <v>0</v>
      </c>
      <c r="H14" t="e">
        <f t="shared" si="1"/>
        <v>#N/A</v>
      </c>
      <c r="N14" s="2"/>
    </row>
    <row r="15" spans="1:18" x14ac:dyDescent="0.25">
      <c r="G15">
        <f t="shared" si="0"/>
        <v>0</v>
      </c>
      <c r="H15" t="e">
        <f t="shared" si="1"/>
        <v>#N/A</v>
      </c>
      <c r="M15" s="5" t="s">
        <v>3</v>
      </c>
      <c r="N15" s="6" t="e">
        <f>STEYX(N2:N9,M2:M9)/SQRT(DEVSQ(M2:M9))</f>
        <v>#DIV/0!</v>
      </c>
    </row>
    <row r="16" spans="1:18" x14ac:dyDescent="0.25">
      <c r="G16">
        <f t="shared" si="0"/>
        <v>0</v>
      </c>
      <c r="H16" t="e">
        <f t="shared" si="1"/>
        <v>#N/A</v>
      </c>
      <c r="M16" s="7" t="s">
        <v>4</v>
      </c>
      <c r="N16" s="8" t="e">
        <f>STEYX(N2:N9,M2:M9)*SQRT(SUMSQ(M2:M9)/(COUNT(M2:M9)*DEVSQ(M2:M9)))</f>
        <v>#DIV/0!</v>
      </c>
    </row>
    <row r="17" spans="7:14" x14ac:dyDescent="0.25">
      <c r="G17">
        <f t="shared" si="0"/>
        <v>0</v>
      </c>
      <c r="H17" t="e">
        <f t="shared" si="1"/>
        <v>#N/A</v>
      </c>
      <c r="N17" s="2"/>
    </row>
    <row r="18" spans="7:14" x14ac:dyDescent="0.25">
      <c r="G18">
        <f t="shared" si="0"/>
        <v>0</v>
      </c>
      <c r="H18" t="e">
        <f t="shared" si="1"/>
        <v>#N/A</v>
      </c>
    </row>
    <row r="19" spans="7:14" x14ac:dyDescent="0.25">
      <c r="G19">
        <f t="shared" si="0"/>
        <v>0</v>
      </c>
      <c r="H19" t="e">
        <f t="shared" si="1"/>
        <v>#N/A</v>
      </c>
      <c r="N19" s="2"/>
    </row>
    <row r="20" spans="7:14" x14ac:dyDescent="0.25">
      <c r="G20">
        <f t="shared" si="0"/>
        <v>0</v>
      </c>
      <c r="H20" t="e">
        <f t="shared" si="1"/>
        <v>#N/A</v>
      </c>
      <c r="N20" s="2"/>
    </row>
    <row r="21" spans="7:14" x14ac:dyDescent="0.25">
      <c r="G21">
        <f t="shared" si="0"/>
        <v>0</v>
      </c>
      <c r="H21" t="e">
        <f t="shared" si="1"/>
        <v>#N/A</v>
      </c>
    </row>
    <row r="22" spans="7:14" x14ac:dyDescent="0.25">
      <c r="G22">
        <f t="shared" si="0"/>
        <v>0</v>
      </c>
      <c r="H22" t="e">
        <f t="shared" si="1"/>
        <v>#N/A</v>
      </c>
    </row>
    <row r="23" spans="7:14" x14ac:dyDescent="0.25">
      <c r="G23">
        <f t="shared" si="0"/>
        <v>0</v>
      </c>
      <c r="H23" t="e">
        <f t="shared" si="1"/>
        <v>#N/A</v>
      </c>
    </row>
    <row r="24" spans="7:14" x14ac:dyDescent="0.25">
      <c r="G24">
        <f t="shared" si="0"/>
        <v>0</v>
      </c>
      <c r="H24" t="e">
        <f t="shared" si="1"/>
        <v>#N/A</v>
      </c>
    </row>
    <row r="25" spans="7:14" x14ac:dyDescent="0.25">
      <c r="G25">
        <f t="shared" si="0"/>
        <v>0</v>
      </c>
      <c r="H25" t="e">
        <f t="shared" si="1"/>
        <v>#N/A</v>
      </c>
    </row>
    <row r="26" spans="7:14" x14ac:dyDescent="0.25">
      <c r="G26">
        <f t="shared" si="0"/>
        <v>0</v>
      </c>
      <c r="H26" t="e">
        <f t="shared" si="1"/>
        <v>#N/A</v>
      </c>
    </row>
    <row r="27" spans="7:14" x14ac:dyDescent="0.25">
      <c r="G27">
        <f t="shared" si="0"/>
        <v>0</v>
      </c>
      <c r="H27" t="e">
        <f t="shared" si="1"/>
        <v>#N/A</v>
      </c>
    </row>
    <row r="28" spans="7:14" x14ac:dyDescent="0.25">
      <c r="G28">
        <f t="shared" si="0"/>
        <v>0</v>
      </c>
      <c r="H28" t="e">
        <f t="shared" si="1"/>
        <v>#N/A</v>
      </c>
    </row>
    <row r="29" spans="7:14" x14ac:dyDescent="0.25">
      <c r="G29">
        <f t="shared" si="0"/>
        <v>0</v>
      </c>
      <c r="H29" t="e">
        <f t="shared" si="1"/>
        <v>#N/A</v>
      </c>
    </row>
    <row r="30" spans="7:14" x14ac:dyDescent="0.25">
      <c r="G30">
        <f t="shared" si="0"/>
        <v>0</v>
      </c>
      <c r="H30" t="e">
        <f t="shared" si="1"/>
        <v>#N/A</v>
      </c>
    </row>
    <row r="31" spans="7:14" x14ac:dyDescent="0.25">
      <c r="G31">
        <f t="shared" si="0"/>
        <v>0</v>
      </c>
      <c r="H31" t="e">
        <f t="shared" si="1"/>
        <v>#N/A</v>
      </c>
    </row>
    <row r="32" spans="7:14" x14ac:dyDescent="0.25">
      <c r="G32">
        <f t="shared" si="0"/>
        <v>0</v>
      </c>
      <c r="H32" t="e">
        <f t="shared" si="1"/>
        <v>#N/A</v>
      </c>
    </row>
    <row r="33" spans="7:8" x14ac:dyDescent="0.25">
      <c r="G33">
        <f t="shared" si="0"/>
        <v>0</v>
      </c>
      <c r="H33" t="e">
        <f t="shared" si="1"/>
        <v>#N/A</v>
      </c>
    </row>
    <row r="34" spans="7:8" x14ac:dyDescent="0.25">
      <c r="G34">
        <f t="shared" si="0"/>
        <v>0</v>
      </c>
      <c r="H34" t="e">
        <f t="shared" si="1"/>
        <v>#N/A</v>
      </c>
    </row>
    <row r="35" spans="7:8" x14ac:dyDescent="0.25">
      <c r="G35">
        <f t="shared" si="0"/>
        <v>0</v>
      </c>
      <c r="H35" t="e">
        <f t="shared" si="1"/>
        <v>#N/A</v>
      </c>
    </row>
    <row r="36" spans="7:8" x14ac:dyDescent="0.25">
      <c r="G36">
        <f t="shared" si="0"/>
        <v>0</v>
      </c>
      <c r="H36" t="e">
        <f t="shared" si="1"/>
        <v>#N/A</v>
      </c>
    </row>
    <row r="37" spans="7:8" x14ac:dyDescent="0.25">
      <c r="G37">
        <f t="shared" si="0"/>
        <v>0</v>
      </c>
      <c r="H37" t="e">
        <f t="shared" si="1"/>
        <v>#N/A</v>
      </c>
    </row>
    <row r="38" spans="7:8" x14ac:dyDescent="0.25">
      <c r="G38">
        <f t="shared" si="0"/>
        <v>0</v>
      </c>
      <c r="H38" t="e">
        <f t="shared" si="1"/>
        <v>#N/A</v>
      </c>
    </row>
    <row r="39" spans="7:8" x14ac:dyDescent="0.25">
      <c r="G39">
        <f t="shared" si="0"/>
        <v>0</v>
      </c>
      <c r="H39" t="e">
        <f t="shared" si="1"/>
        <v>#N/A</v>
      </c>
    </row>
    <row r="40" spans="7:8" x14ac:dyDescent="0.25">
      <c r="G40">
        <f t="shared" si="0"/>
        <v>0</v>
      </c>
      <c r="H40" t="e">
        <f t="shared" si="1"/>
        <v>#N/A</v>
      </c>
    </row>
    <row r="41" spans="7:8" x14ac:dyDescent="0.25">
      <c r="G41">
        <f t="shared" si="0"/>
        <v>0</v>
      </c>
      <c r="H41" t="e">
        <f t="shared" si="1"/>
        <v>#N/A</v>
      </c>
    </row>
    <row r="42" spans="7:8" x14ac:dyDescent="0.25">
      <c r="G42">
        <f t="shared" si="0"/>
        <v>0</v>
      </c>
      <c r="H42" t="e">
        <f t="shared" si="1"/>
        <v>#N/A</v>
      </c>
    </row>
    <row r="43" spans="7:8" x14ac:dyDescent="0.25">
      <c r="G43">
        <f t="shared" si="0"/>
        <v>0</v>
      </c>
      <c r="H43" t="e">
        <f t="shared" si="1"/>
        <v>#N/A</v>
      </c>
    </row>
    <row r="44" spans="7:8" x14ac:dyDescent="0.25">
      <c r="G44">
        <f t="shared" si="0"/>
        <v>0</v>
      </c>
      <c r="H44" t="e">
        <f t="shared" si="1"/>
        <v>#N/A</v>
      </c>
    </row>
    <row r="45" spans="7:8" x14ac:dyDescent="0.25">
      <c r="G45">
        <f t="shared" si="0"/>
        <v>0</v>
      </c>
      <c r="H45" t="e">
        <f t="shared" si="1"/>
        <v>#N/A</v>
      </c>
    </row>
    <row r="46" spans="7:8" x14ac:dyDescent="0.25">
      <c r="G46">
        <f t="shared" si="0"/>
        <v>0</v>
      </c>
      <c r="H46" t="e">
        <f t="shared" si="1"/>
        <v>#N/A</v>
      </c>
    </row>
    <row r="47" spans="7:8" x14ac:dyDescent="0.25">
      <c r="G47">
        <f t="shared" si="0"/>
        <v>0</v>
      </c>
      <c r="H47" t="e">
        <f t="shared" si="1"/>
        <v>#N/A</v>
      </c>
    </row>
    <row r="48" spans="7:8" x14ac:dyDescent="0.25">
      <c r="G48">
        <f t="shared" si="0"/>
        <v>0</v>
      </c>
      <c r="H48" t="e">
        <f t="shared" si="1"/>
        <v>#N/A</v>
      </c>
    </row>
    <row r="49" spans="7:8" x14ac:dyDescent="0.25">
      <c r="G49">
        <f t="shared" si="0"/>
        <v>0</v>
      </c>
      <c r="H49" t="e">
        <f t="shared" si="1"/>
        <v>#N/A</v>
      </c>
    </row>
    <row r="50" spans="7:8" x14ac:dyDescent="0.25">
      <c r="G50">
        <f t="shared" si="0"/>
        <v>0</v>
      </c>
      <c r="H50" t="e">
        <f t="shared" si="1"/>
        <v>#N/A</v>
      </c>
    </row>
    <row r="51" spans="7:8" x14ac:dyDescent="0.25">
      <c r="G51">
        <f t="shared" si="0"/>
        <v>0</v>
      </c>
      <c r="H51" t="e">
        <f t="shared" si="1"/>
        <v>#N/A</v>
      </c>
    </row>
    <row r="52" spans="7:8" x14ac:dyDescent="0.25">
      <c r="G52">
        <f t="shared" si="0"/>
        <v>0</v>
      </c>
      <c r="H52" t="e">
        <f t="shared" si="1"/>
        <v>#N/A</v>
      </c>
    </row>
    <row r="53" spans="7:8" x14ac:dyDescent="0.25">
      <c r="G53">
        <f t="shared" si="0"/>
        <v>0</v>
      </c>
      <c r="H53" t="e">
        <f t="shared" si="1"/>
        <v>#N/A</v>
      </c>
    </row>
    <row r="54" spans="7:8" x14ac:dyDescent="0.25">
      <c r="G54">
        <f t="shared" si="0"/>
        <v>0</v>
      </c>
      <c r="H54" t="e">
        <f t="shared" si="1"/>
        <v>#N/A</v>
      </c>
    </row>
    <row r="55" spans="7:8" x14ac:dyDescent="0.25">
      <c r="G55">
        <f t="shared" si="0"/>
        <v>0</v>
      </c>
      <c r="H55" t="e">
        <f t="shared" si="1"/>
        <v>#N/A</v>
      </c>
    </row>
    <row r="56" spans="7:8" x14ac:dyDescent="0.25">
      <c r="G56">
        <f t="shared" si="0"/>
        <v>0</v>
      </c>
      <c r="H56" t="e">
        <f t="shared" si="1"/>
        <v>#N/A</v>
      </c>
    </row>
    <row r="57" spans="7:8" x14ac:dyDescent="0.25">
      <c r="G57">
        <f t="shared" si="0"/>
        <v>0</v>
      </c>
      <c r="H57" t="e">
        <f t="shared" si="1"/>
        <v>#N/A</v>
      </c>
    </row>
    <row r="58" spans="7:8" x14ac:dyDescent="0.25">
      <c r="G58">
        <f t="shared" si="0"/>
        <v>0</v>
      </c>
      <c r="H58" t="e">
        <f t="shared" si="1"/>
        <v>#N/A</v>
      </c>
    </row>
    <row r="59" spans="7:8" x14ac:dyDescent="0.25">
      <c r="G59">
        <f t="shared" si="0"/>
        <v>0</v>
      </c>
      <c r="H59" t="e">
        <f t="shared" si="1"/>
        <v>#N/A</v>
      </c>
    </row>
    <row r="60" spans="7:8" x14ac:dyDescent="0.25">
      <c r="G60">
        <f t="shared" si="0"/>
        <v>0</v>
      </c>
      <c r="H60" t="e">
        <f t="shared" si="1"/>
        <v>#N/A</v>
      </c>
    </row>
    <row r="61" spans="7:8" x14ac:dyDescent="0.25">
      <c r="G61">
        <f t="shared" si="0"/>
        <v>0</v>
      </c>
      <c r="H61" t="e">
        <f t="shared" si="1"/>
        <v>#N/A</v>
      </c>
    </row>
    <row r="62" spans="7:8" x14ac:dyDescent="0.25">
      <c r="G62">
        <f t="shared" si="0"/>
        <v>0</v>
      </c>
      <c r="H62" t="e">
        <f t="shared" si="1"/>
        <v>#N/A</v>
      </c>
    </row>
    <row r="63" spans="7:8" x14ac:dyDescent="0.25">
      <c r="G63">
        <f t="shared" si="0"/>
        <v>0</v>
      </c>
      <c r="H63" t="e">
        <f t="shared" si="1"/>
        <v>#N/A</v>
      </c>
    </row>
    <row r="64" spans="7:8" x14ac:dyDescent="0.25">
      <c r="G64">
        <f t="shared" si="0"/>
        <v>0</v>
      </c>
      <c r="H64" t="e">
        <f t="shared" si="1"/>
        <v>#N/A</v>
      </c>
    </row>
    <row r="65" spans="7:8" x14ac:dyDescent="0.25">
      <c r="G65">
        <f t="shared" si="0"/>
        <v>0</v>
      </c>
      <c r="H65" t="e">
        <f t="shared" si="1"/>
        <v>#N/A</v>
      </c>
    </row>
    <row r="66" spans="7:8" x14ac:dyDescent="0.25">
      <c r="G66">
        <f t="shared" si="0"/>
        <v>0</v>
      </c>
      <c r="H66" t="e">
        <f t="shared" si="1"/>
        <v>#N/A</v>
      </c>
    </row>
    <row r="67" spans="7:8" x14ac:dyDescent="0.25">
      <c r="G67">
        <f t="shared" ref="G67:G130" si="4">IF(OR($F67="SETTLING",$F67="READY"),NA(),$C67)</f>
        <v>0</v>
      </c>
      <c r="H67" t="e">
        <f t="shared" ref="H67:H130" si="5">IF($F67="SETTLING", $C67, NA())</f>
        <v>#N/A</v>
      </c>
    </row>
    <row r="68" spans="7:8" x14ac:dyDescent="0.25">
      <c r="G68">
        <f t="shared" si="4"/>
        <v>0</v>
      </c>
      <c r="H68" t="e">
        <f t="shared" si="5"/>
        <v>#N/A</v>
      </c>
    </row>
    <row r="69" spans="7:8" x14ac:dyDescent="0.25">
      <c r="G69">
        <f t="shared" si="4"/>
        <v>0</v>
      </c>
      <c r="H69" t="e">
        <f t="shared" si="5"/>
        <v>#N/A</v>
      </c>
    </row>
    <row r="70" spans="7:8" x14ac:dyDescent="0.25">
      <c r="G70">
        <f t="shared" si="4"/>
        <v>0</v>
      </c>
      <c r="H70" t="e">
        <f t="shared" si="5"/>
        <v>#N/A</v>
      </c>
    </row>
    <row r="71" spans="7:8" x14ac:dyDescent="0.25">
      <c r="G71">
        <f t="shared" si="4"/>
        <v>0</v>
      </c>
      <c r="H71" t="e">
        <f t="shared" si="5"/>
        <v>#N/A</v>
      </c>
    </row>
    <row r="72" spans="7:8" x14ac:dyDescent="0.25">
      <c r="G72">
        <f t="shared" si="4"/>
        <v>0</v>
      </c>
      <c r="H72" t="e">
        <f t="shared" si="5"/>
        <v>#N/A</v>
      </c>
    </row>
    <row r="73" spans="7:8" x14ac:dyDescent="0.25">
      <c r="G73">
        <f t="shared" si="4"/>
        <v>0</v>
      </c>
      <c r="H73" t="e">
        <f t="shared" si="5"/>
        <v>#N/A</v>
      </c>
    </row>
    <row r="74" spans="7:8" x14ac:dyDescent="0.25">
      <c r="G74">
        <f t="shared" si="4"/>
        <v>0</v>
      </c>
      <c r="H74" t="e">
        <f t="shared" si="5"/>
        <v>#N/A</v>
      </c>
    </row>
    <row r="75" spans="7:8" x14ac:dyDescent="0.25">
      <c r="G75">
        <f t="shared" si="4"/>
        <v>0</v>
      </c>
      <c r="H75" t="e">
        <f t="shared" si="5"/>
        <v>#N/A</v>
      </c>
    </row>
    <row r="76" spans="7:8" x14ac:dyDescent="0.25">
      <c r="G76">
        <f t="shared" si="4"/>
        <v>0</v>
      </c>
      <c r="H76" t="e">
        <f t="shared" si="5"/>
        <v>#N/A</v>
      </c>
    </row>
    <row r="77" spans="7:8" x14ac:dyDescent="0.25">
      <c r="G77">
        <f t="shared" si="4"/>
        <v>0</v>
      </c>
      <c r="H77" t="e">
        <f t="shared" si="5"/>
        <v>#N/A</v>
      </c>
    </row>
    <row r="78" spans="7:8" x14ac:dyDescent="0.25">
      <c r="G78">
        <f t="shared" si="4"/>
        <v>0</v>
      </c>
      <c r="H78" t="e">
        <f t="shared" si="5"/>
        <v>#N/A</v>
      </c>
    </row>
    <row r="79" spans="7:8" x14ac:dyDescent="0.25">
      <c r="G79">
        <f t="shared" si="4"/>
        <v>0</v>
      </c>
      <c r="H79" t="e">
        <f t="shared" si="5"/>
        <v>#N/A</v>
      </c>
    </row>
    <row r="80" spans="7:8" x14ac:dyDescent="0.25">
      <c r="G80">
        <f t="shared" si="4"/>
        <v>0</v>
      </c>
      <c r="H80" t="e">
        <f t="shared" si="5"/>
        <v>#N/A</v>
      </c>
    </row>
    <row r="81" spans="7:8" x14ac:dyDescent="0.25">
      <c r="G81">
        <f t="shared" si="4"/>
        <v>0</v>
      </c>
      <c r="H81" t="e">
        <f t="shared" si="5"/>
        <v>#N/A</v>
      </c>
    </row>
    <row r="82" spans="7:8" x14ac:dyDescent="0.25">
      <c r="G82">
        <f t="shared" si="4"/>
        <v>0</v>
      </c>
      <c r="H82" t="e">
        <f t="shared" si="5"/>
        <v>#N/A</v>
      </c>
    </row>
    <row r="83" spans="7:8" x14ac:dyDescent="0.25">
      <c r="G83">
        <f t="shared" si="4"/>
        <v>0</v>
      </c>
      <c r="H83" t="e">
        <f t="shared" si="5"/>
        <v>#N/A</v>
      </c>
    </row>
    <row r="84" spans="7:8" x14ac:dyDescent="0.25">
      <c r="G84">
        <f t="shared" si="4"/>
        <v>0</v>
      </c>
      <c r="H84" t="e">
        <f t="shared" si="5"/>
        <v>#N/A</v>
      </c>
    </row>
    <row r="85" spans="7:8" x14ac:dyDescent="0.25">
      <c r="G85">
        <f t="shared" si="4"/>
        <v>0</v>
      </c>
      <c r="H85" t="e">
        <f t="shared" si="5"/>
        <v>#N/A</v>
      </c>
    </row>
    <row r="86" spans="7:8" x14ac:dyDescent="0.25">
      <c r="G86">
        <f t="shared" si="4"/>
        <v>0</v>
      </c>
      <c r="H86" t="e">
        <f t="shared" si="5"/>
        <v>#N/A</v>
      </c>
    </row>
    <row r="87" spans="7:8" x14ac:dyDescent="0.25">
      <c r="G87">
        <f t="shared" si="4"/>
        <v>0</v>
      </c>
      <c r="H87" t="e">
        <f t="shared" si="5"/>
        <v>#N/A</v>
      </c>
    </row>
    <row r="88" spans="7:8" x14ac:dyDescent="0.25">
      <c r="G88">
        <f t="shared" si="4"/>
        <v>0</v>
      </c>
      <c r="H88" t="e">
        <f t="shared" si="5"/>
        <v>#N/A</v>
      </c>
    </row>
    <row r="89" spans="7:8" x14ac:dyDescent="0.25">
      <c r="G89">
        <f t="shared" si="4"/>
        <v>0</v>
      </c>
      <c r="H89" t="e">
        <f t="shared" si="5"/>
        <v>#N/A</v>
      </c>
    </row>
    <row r="90" spans="7:8" x14ac:dyDescent="0.25">
      <c r="G90">
        <f t="shared" si="4"/>
        <v>0</v>
      </c>
      <c r="H90" t="e">
        <f t="shared" si="5"/>
        <v>#N/A</v>
      </c>
    </row>
    <row r="91" spans="7:8" x14ac:dyDescent="0.25">
      <c r="G91">
        <f t="shared" si="4"/>
        <v>0</v>
      </c>
      <c r="H91" t="e">
        <f t="shared" si="5"/>
        <v>#N/A</v>
      </c>
    </row>
    <row r="92" spans="7:8" x14ac:dyDescent="0.25">
      <c r="G92">
        <f t="shared" si="4"/>
        <v>0</v>
      </c>
      <c r="H92" t="e">
        <f t="shared" si="5"/>
        <v>#N/A</v>
      </c>
    </row>
    <row r="93" spans="7:8" x14ac:dyDescent="0.25">
      <c r="G93">
        <f t="shared" si="4"/>
        <v>0</v>
      </c>
      <c r="H93" t="e">
        <f t="shared" si="5"/>
        <v>#N/A</v>
      </c>
    </row>
    <row r="94" spans="7:8" x14ac:dyDescent="0.25">
      <c r="G94">
        <f t="shared" si="4"/>
        <v>0</v>
      </c>
      <c r="H94" t="e">
        <f t="shared" si="5"/>
        <v>#N/A</v>
      </c>
    </row>
    <row r="95" spans="7:8" x14ac:dyDescent="0.25">
      <c r="G95">
        <f t="shared" si="4"/>
        <v>0</v>
      </c>
      <c r="H95" t="e">
        <f t="shared" si="5"/>
        <v>#N/A</v>
      </c>
    </row>
    <row r="96" spans="7:8" x14ac:dyDescent="0.25">
      <c r="G96">
        <f t="shared" si="4"/>
        <v>0</v>
      </c>
      <c r="H96" t="e">
        <f t="shared" si="5"/>
        <v>#N/A</v>
      </c>
    </row>
    <row r="97" spans="7:8" x14ac:dyDescent="0.25">
      <c r="G97">
        <f t="shared" si="4"/>
        <v>0</v>
      </c>
      <c r="H97" t="e">
        <f t="shared" si="5"/>
        <v>#N/A</v>
      </c>
    </row>
    <row r="98" spans="7:8" x14ac:dyDescent="0.25">
      <c r="G98">
        <f t="shared" si="4"/>
        <v>0</v>
      </c>
      <c r="H98" t="e">
        <f t="shared" si="5"/>
        <v>#N/A</v>
      </c>
    </row>
    <row r="99" spans="7:8" x14ac:dyDescent="0.25">
      <c r="G99">
        <f t="shared" si="4"/>
        <v>0</v>
      </c>
      <c r="H99" t="e">
        <f t="shared" si="5"/>
        <v>#N/A</v>
      </c>
    </row>
    <row r="100" spans="7:8" x14ac:dyDescent="0.25">
      <c r="G100">
        <f t="shared" si="4"/>
        <v>0</v>
      </c>
      <c r="H100" t="e">
        <f t="shared" si="5"/>
        <v>#N/A</v>
      </c>
    </row>
    <row r="101" spans="7:8" x14ac:dyDescent="0.25">
      <c r="G101">
        <f t="shared" si="4"/>
        <v>0</v>
      </c>
      <c r="H101" t="e">
        <f t="shared" si="5"/>
        <v>#N/A</v>
      </c>
    </row>
    <row r="102" spans="7:8" x14ac:dyDescent="0.25">
      <c r="G102">
        <f t="shared" si="4"/>
        <v>0</v>
      </c>
      <c r="H102" t="e">
        <f t="shared" si="5"/>
        <v>#N/A</v>
      </c>
    </row>
    <row r="103" spans="7:8" x14ac:dyDescent="0.25">
      <c r="G103">
        <f t="shared" si="4"/>
        <v>0</v>
      </c>
      <c r="H103" t="e">
        <f t="shared" si="5"/>
        <v>#N/A</v>
      </c>
    </row>
    <row r="104" spans="7:8" x14ac:dyDescent="0.25">
      <c r="G104">
        <f t="shared" si="4"/>
        <v>0</v>
      </c>
      <c r="H104" t="e">
        <f t="shared" si="5"/>
        <v>#N/A</v>
      </c>
    </row>
    <row r="105" spans="7:8" x14ac:dyDescent="0.25">
      <c r="G105">
        <f t="shared" si="4"/>
        <v>0</v>
      </c>
      <c r="H105" t="e">
        <f t="shared" si="5"/>
        <v>#N/A</v>
      </c>
    </row>
    <row r="106" spans="7:8" x14ac:dyDescent="0.25">
      <c r="G106">
        <f t="shared" si="4"/>
        <v>0</v>
      </c>
      <c r="H106" t="e">
        <f t="shared" si="5"/>
        <v>#N/A</v>
      </c>
    </row>
    <row r="107" spans="7:8" x14ac:dyDescent="0.25">
      <c r="G107">
        <f t="shared" si="4"/>
        <v>0</v>
      </c>
      <c r="H107" t="e">
        <f t="shared" si="5"/>
        <v>#N/A</v>
      </c>
    </row>
    <row r="108" spans="7:8" x14ac:dyDescent="0.25">
      <c r="G108">
        <f t="shared" si="4"/>
        <v>0</v>
      </c>
      <c r="H108" t="e">
        <f t="shared" si="5"/>
        <v>#N/A</v>
      </c>
    </row>
    <row r="109" spans="7:8" x14ac:dyDescent="0.25">
      <c r="G109">
        <f t="shared" si="4"/>
        <v>0</v>
      </c>
      <c r="H109" t="e">
        <f t="shared" si="5"/>
        <v>#N/A</v>
      </c>
    </row>
    <row r="110" spans="7:8" x14ac:dyDescent="0.25">
      <c r="G110">
        <f t="shared" si="4"/>
        <v>0</v>
      </c>
      <c r="H110" t="e">
        <f t="shared" si="5"/>
        <v>#N/A</v>
      </c>
    </row>
    <row r="111" spans="7:8" x14ac:dyDescent="0.25">
      <c r="G111">
        <f t="shared" si="4"/>
        <v>0</v>
      </c>
      <c r="H111" t="e">
        <f t="shared" si="5"/>
        <v>#N/A</v>
      </c>
    </row>
    <row r="112" spans="7:8" x14ac:dyDescent="0.25">
      <c r="G112">
        <f t="shared" si="4"/>
        <v>0</v>
      </c>
      <c r="H112" t="e">
        <f t="shared" si="5"/>
        <v>#N/A</v>
      </c>
    </row>
    <row r="113" spans="7:8" x14ac:dyDescent="0.25">
      <c r="G113">
        <f t="shared" si="4"/>
        <v>0</v>
      </c>
      <c r="H113" t="e">
        <f t="shared" si="5"/>
        <v>#N/A</v>
      </c>
    </row>
    <row r="114" spans="7:8" x14ac:dyDescent="0.25">
      <c r="G114">
        <f t="shared" si="4"/>
        <v>0</v>
      </c>
      <c r="H114" t="e">
        <f t="shared" si="5"/>
        <v>#N/A</v>
      </c>
    </row>
    <row r="115" spans="7:8" x14ac:dyDescent="0.25">
      <c r="G115">
        <f t="shared" si="4"/>
        <v>0</v>
      </c>
      <c r="H115" t="e">
        <f t="shared" si="5"/>
        <v>#N/A</v>
      </c>
    </row>
    <row r="116" spans="7:8" x14ac:dyDescent="0.25">
      <c r="G116">
        <f t="shared" si="4"/>
        <v>0</v>
      </c>
      <c r="H116" t="e">
        <f t="shared" si="5"/>
        <v>#N/A</v>
      </c>
    </row>
    <row r="117" spans="7:8" x14ac:dyDescent="0.25">
      <c r="G117">
        <f t="shared" si="4"/>
        <v>0</v>
      </c>
      <c r="H117" t="e">
        <f t="shared" si="5"/>
        <v>#N/A</v>
      </c>
    </row>
    <row r="118" spans="7:8" x14ac:dyDescent="0.25">
      <c r="G118">
        <f t="shared" si="4"/>
        <v>0</v>
      </c>
      <c r="H118" t="e">
        <f t="shared" si="5"/>
        <v>#N/A</v>
      </c>
    </row>
    <row r="119" spans="7:8" x14ac:dyDescent="0.25">
      <c r="G119">
        <f t="shared" si="4"/>
        <v>0</v>
      </c>
      <c r="H119" t="e">
        <f t="shared" si="5"/>
        <v>#N/A</v>
      </c>
    </row>
    <row r="120" spans="7:8" x14ac:dyDescent="0.25">
      <c r="G120">
        <f t="shared" si="4"/>
        <v>0</v>
      </c>
      <c r="H120" t="e">
        <f t="shared" si="5"/>
        <v>#N/A</v>
      </c>
    </row>
    <row r="121" spans="7:8" x14ac:dyDescent="0.25">
      <c r="G121">
        <f t="shared" si="4"/>
        <v>0</v>
      </c>
      <c r="H121" t="e">
        <f t="shared" si="5"/>
        <v>#N/A</v>
      </c>
    </row>
    <row r="122" spans="7:8" x14ac:dyDescent="0.25">
      <c r="G122">
        <f t="shared" si="4"/>
        <v>0</v>
      </c>
      <c r="H122" t="e">
        <f t="shared" si="5"/>
        <v>#N/A</v>
      </c>
    </row>
    <row r="123" spans="7:8" x14ac:dyDescent="0.25">
      <c r="G123">
        <f t="shared" si="4"/>
        <v>0</v>
      </c>
      <c r="H123" t="e">
        <f t="shared" si="5"/>
        <v>#N/A</v>
      </c>
    </row>
    <row r="124" spans="7:8" x14ac:dyDescent="0.25">
      <c r="G124">
        <f t="shared" si="4"/>
        <v>0</v>
      </c>
      <c r="H124" t="e">
        <f t="shared" si="5"/>
        <v>#N/A</v>
      </c>
    </row>
    <row r="125" spans="7:8" x14ac:dyDescent="0.25">
      <c r="G125">
        <f t="shared" si="4"/>
        <v>0</v>
      </c>
      <c r="H125" t="e">
        <f t="shared" si="5"/>
        <v>#N/A</v>
      </c>
    </row>
    <row r="126" spans="7:8" x14ac:dyDescent="0.25">
      <c r="G126">
        <f t="shared" si="4"/>
        <v>0</v>
      </c>
      <c r="H126" t="e">
        <f t="shared" si="5"/>
        <v>#N/A</v>
      </c>
    </row>
    <row r="127" spans="7:8" x14ac:dyDescent="0.25">
      <c r="G127">
        <f t="shared" si="4"/>
        <v>0</v>
      </c>
      <c r="H127" t="e">
        <f t="shared" si="5"/>
        <v>#N/A</v>
      </c>
    </row>
    <row r="128" spans="7:8" x14ac:dyDescent="0.25">
      <c r="G128">
        <f t="shared" si="4"/>
        <v>0</v>
      </c>
      <c r="H128" t="e">
        <f t="shared" si="5"/>
        <v>#N/A</v>
      </c>
    </row>
    <row r="129" spans="7:8" x14ac:dyDescent="0.25">
      <c r="G129">
        <f t="shared" si="4"/>
        <v>0</v>
      </c>
      <c r="H129" t="e">
        <f t="shared" si="5"/>
        <v>#N/A</v>
      </c>
    </row>
    <row r="130" spans="7:8" x14ac:dyDescent="0.25">
      <c r="G130">
        <f t="shared" si="4"/>
        <v>0</v>
      </c>
      <c r="H130" t="e">
        <f t="shared" si="5"/>
        <v>#N/A</v>
      </c>
    </row>
    <row r="131" spans="7:8" x14ac:dyDescent="0.25">
      <c r="G131">
        <f t="shared" ref="G131:G194" si="6">IF(OR($F131="SETTLING",$F131="READY"),NA(),$C131)</f>
        <v>0</v>
      </c>
      <c r="H131" t="e">
        <f t="shared" ref="H131:H194" si="7">IF($F131="SETTLING", $C131, NA())</f>
        <v>#N/A</v>
      </c>
    </row>
    <row r="132" spans="7:8" x14ac:dyDescent="0.25">
      <c r="G132">
        <f t="shared" si="6"/>
        <v>0</v>
      </c>
      <c r="H132" t="e">
        <f t="shared" si="7"/>
        <v>#N/A</v>
      </c>
    </row>
    <row r="133" spans="7:8" x14ac:dyDescent="0.25">
      <c r="G133">
        <f t="shared" si="6"/>
        <v>0</v>
      </c>
      <c r="H133" t="e">
        <f t="shared" si="7"/>
        <v>#N/A</v>
      </c>
    </row>
    <row r="134" spans="7:8" x14ac:dyDescent="0.25">
      <c r="G134">
        <f t="shared" si="6"/>
        <v>0</v>
      </c>
      <c r="H134" t="e">
        <f t="shared" si="7"/>
        <v>#N/A</v>
      </c>
    </row>
    <row r="135" spans="7:8" x14ac:dyDescent="0.25">
      <c r="G135">
        <f t="shared" si="6"/>
        <v>0</v>
      </c>
      <c r="H135" t="e">
        <f t="shared" si="7"/>
        <v>#N/A</v>
      </c>
    </row>
    <row r="136" spans="7:8" x14ac:dyDescent="0.25">
      <c r="G136">
        <f t="shared" si="6"/>
        <v>0</v>
      </c>
      <c r="H136" t="e">
        <f t="shared" si="7"/>
        <v>#N/A</v>
      </c>
    </row>
    <row r="137" spans="7:8" x14ac:dyDescent="0.25">
      <c r="G137">
        <f t="shared" si="6"/>
        <v>0</v>
      </c>
      <c r="H137" t="e">
        <f t="shared" si="7"/>
        <v>#N/A</v>
      </c>
    </row>
    <row r="138" spans="7:8" x14ac:dyDescent="0.25">
      <c r="G138">
        <f t="shared" si="6"/>
        <v>0</v>
      </c>
      <c r="H138" t="e">
        <f t="shared" si="7"/>
        <v>#N/A</v>
      </c>
    </row>
    <row r="139" spans="7:8" x14ac:dyDescent="0.25">
      <c r="G139">
        <f t="shared" si="6"/>
        <v>0</v>
      </c>
      <c r="H139" t="e">
        <f t="shared" si="7"/>
        <v>#N/A</v>
      </c>
    </row>
    <row r="140" spans="7:8" x14ac:dyDescent="0.25">
      <c r="G140">
        <f t="shared" si="6"/>
        <v>0</v>
      </c>
      <c r="H140" t="e">
        <f t="shared" si="7"/>
        <v>#N/A</v>
      </c>
    </row>
    <row r="141" spans="7:8" x14ac:dyDescent="0.25">
      <c r="G141">
        <f t="shared" si="6"/>
        <v>0</v>
      </c>
      <c r="H141" t="e">
        <f t="shared" si="7"/>
        <v>#N/A</v>
      </c>
    </row>
    <row r="142" spans="7:8" x14ac:dyDescent="0.25">
      <c r="G142">
        <f t="shared" si="6"/>
        <v>0</v>
      </c>
      <c r="H142" t="e">
        <f t="shared" si="7"/>
        <v>#N/A</v>
      </c>
    </row>
    <row r="143" spans="7:8" x14ac:dyDescent="0.25">
      <c r="G143">
        <f t="shared" si="6"/>
        <v>0</v>
      </c>
      <c r="H143" t="e">
        <f t="shared" si="7"/>
        <v>#N/A</v>
      </c>
    </row>
    <row r="144" spans="7:8" x14ac:dyDescent="0.25">
      <c r="G144">
        <f t="shared" si="6"/>
        <v>0</v>
      </c>
      <c r="H144" t="e">
        <f t="shared" si="7"/>
        <v>#N/A</v>
      </c>
    </row>
    <row r="145" spans="7:8" x14ac:dyDescent="0.25">
      <c r="G145">
        <f t="shared" si="6"/>
        <v>0</v>
      </c>
      <c r="H145" t="e">
        <f t="shared" si="7"/>
        <v>#N/A</v>
      </c>
    </row>
    <row r="146" spans="7:8" x14ac:dyDescent="0.25">
      <c r="G146">
        <f t="shared" si="6"/>
        <v>0</v>
      </c>
      <c r="H146" t="e">
        <f t="shared" si="7"/>
        <v>#N/A</v>
      </c>
    </row>
    <row r="147" spans="7:8" x14ac:dyDescent="0.25">
      <c r="G147">
        <f t="shared" si="6"/>
        <v>0</v>
      </c>
      <c r="H147" t="e">
        <f t="shared" si="7"/>
        <v>#N/A</v>
      </c>
    </row>
    <row r="148" spans="7:8" x14ac:dyDescent="0.25">
      <c r="G148">
        <f t="shared" si="6"/>
        <v>0</v>
      </c>
      <c r="H148" t="e">
        <f t="shared" si="7"/>
        <v>#N/A</v>
      </c>
    </row>
    <row r="149" spans="7:8" x14ac:dyDescent="0.25">
      <c r="G149">
        <f t="shared" si="6"/>
        <v>0</v>
      </c>
      <c r="H149" t="e">
        <f t="shared" si="7"/>
        <v>#N/A</v>
      </c>
    </row>
    <row r="150" spans="7:8" x14ac:dyDescent="0.25">
      <c r="G150">
        <f t="shared" si="6"/>
        <v>0</v>
      </c>
      <c r="H150" t="e">
        <f t="shared" si="7"/>
        <v>#N/A</v>
      </c>
    </row>
    <row r="151" spans="7:8" x14ac:dyDescent="0.25">
      <c r="G151">
        <f t="shared" si="6"/>
        <v>0</v>
      </c>
      <c r="H151" t="e">
        <f t="shared" si="7"/>
        <v>#N/A</v>
      </c>
    </row>
    <row r="152" spans="7:8" x14ac:dyDescent="0.25">
      <c r="G152">
        <f t="shared" si="6"/>
        <v>0</v>
      </c>
      <c r="H152" t="e">
        <f t="shared" si="7"/>
        <v>#N/A</v>
      </c>
    </row>
    <row r="153" spans="7:8" x14ac:dyDescent="0.25">
      <c r="G153">
        <f t="shared" si="6"/>
        <v>0</v>
      </c>
      <c r="H153" t="e">
        <f t="shared" si="7"/>
        <v>#N/A</v>
      </c>
    </row>
    <row r="154" spans="7:8" x14ac:dyDescent="0.25">
      <c r="G154">
        <f t="shared" si="6"/>
        <v>0</v>
      </c>
      <c r="H154" t="e">
        <f t="shared" si="7"/>
        <v>#N/A</v>
      </c>
    </row>
    <row r="155" spans="7:8" x14ac:dyDescent="0.25">
      <c r="G155">
        <f t="shared" si="6"/>
        <v>0</v>
      </c>
      <c r="H155" t="e">
        <f t="shared" si="7"/>
        <v>#N/A</v>
      </c>
    </row>
    <row r="156" spans="7:8" x14ac:dyDescent="0.25">
      <c r="G156">
        <f t="shared" si="6"/>
        <v>0</v>
      </c>
      <c r="H156" t="e">
        <f t="shared" si="7"/>
        <v>#N/A</v>
      </c>
    </row>
    <row r="157" spans="7:8" x14ac:dyDescent="0.25">
      <c r="G157">
        <f t="shared" si="6"/>
        <v>0</v>
      </c>
      <c r="H157" t="e">
        <f t="shared" si="7"/>
        <v>#N/A</v>
      </c>
    </row>
    <row r="158" spans="7:8" x14ac:dyDescent="0.25">
      <c r="G158">
        <f t="shared" si="6"/>
        <v>0</v>
      </c>
      <c r="H158" t="e">
        <f t="shared" si="7"/>
        <v>#N/A</v>
      </c>
    </row>
    <row r="159" spans="7:8" x14ac:dyDescent="0.25">
      <c r="G159">
        <f t="shared" si="6"/>
        <v>0</v>
      </c>
      <c r="H159" t="e">
        <f t="shared" si="7"/>
        <v>#N/A</v>
      </c>
    </row>
    <row r="160" spans="7:8" x14ac:dyDescent="0.25">
      <c r="G160">
        <f t="shared" si="6"/>
        <v>0</v>
      </c>
      <c r="H160" t="e">
        <f t="shared" si="7"/>
        <v>#N/A</v>
      </c>
    </row>
    <row r="161" spans="7:8" x14ac:dyDescent="0.25">
      <c r="G161">
        <f t="shared" si="6"/>
        <v>0</v>
      </c>
      <c r="H161" t="e">
        <f t="shared" si="7"/>
        <v>#N/A</v>
      </c>
    </row>
    <row r="162" spans="7:8" x14ac:dyDescent="0.25">
      <c r="G162">
        <f t="shared" si="6"/>
        <v>0</v>
      </c>
      <c r="H162" t="e">
        <f t="shared" si="7"/>
        <v>#N/A</v>
      </c>
    </row>
    <row r="163" spans="7:8" x14ac:dyDescent="0.25">
      <c r="G163">
        <f t="shared" si="6"/>
        <v>0</v>
      </c>
      <c r="H163" t="e">
        <f t="shared" si="7"/>
        <v>#N/A</v>
      </c>
    </row>
    <row r="164" spans="7:8" x14ac:dyDescent="0.25">
      <c r="G164">
        <f t="shared" si="6"/>
        <v>0</v>
      </c>
      <c r="H164" t="e">
        <f t="shared" si="7"/>
        <v>#N/A</v>
      </c>
    </row>
    <row r="165" spans="7:8" x14ac:dyDescent="0.25">
      <c r="G165">
        <f t="shared" si="6"/>
        <v>0</v>
      </c>
      <c r="H165" t="e">
        <f t="shared" si="7"/>
        <v>#N/A</v>
      </c>
    </row>
    <row r="166" spans="7:8" x14ac:dyDescent="0.25">
      <c r="G166">
        <f t="shared" si="6"/>
        <v>0</v>
      </c>
      <c r="H166" t="e">
        <f t="shared" si="7"/>
        <v>#N/A</v>
      </c>
    </row>
    <row r="167" spans="7:8" x14ac:dyDescent="0.25">
      <c r="G167">
        <f t="shared" si="6"/>
        <v>0</v>
      </c>
      <c r="H167" t="e">
        <f t="shared" si="7"/>
        <v>#N/A</v>
      </c>
    </row>
    <row r="168" spans="7:8" x14ac:dyDescent="0.25">
      <c r="G168">
        <f t="shared" si="6"/>
        <v>0</v>
      </c>
      <c r="H168" t="e">
        <f t="shared" si="7"/>
        <v>#N/A</v>
      </c>
    </row>
    <row r="169" spans="7:8" x14ac:dyDescent="0.25">
      <c r="G169">
        <f t="shared" si="6"/>
        <v>0</v>
      </c>
      <c r="H169" t="e">
        <f t="shared" si="7"/>
        <v>#N/A</v>
      </c>
    </row>
    <row r="170" spans="7:8" x14ac:dyDescent="0.25">
      <c r="G170">
        <f t="shared" si="6"/>
        <v>0</v>
      </c>
      <c r="H170" t="e">
        <f t="shared" si="7"/>
        <v>#N/A</v>
      </c>
    </row>
    <row r="171" spans="7:8" x14ac:dyDescent="0.25">
      <c r="G171">
        <f t="shared" si="6"/>
        <v>0</v>
      </c>
      <c r="H171" t="e">
        <f t="shared" si="7"/>
        <v>#N/A</v>
      </c>
    </row>
    <row r="172" spans="7:8" x14ac:dyDescent="0.25">
      <c r="G172">
        <f t="shared" si="6"/>
        <v>0</v>
      </c>
      <c r="H172" t="e">
        <f t="shared" si="7"/>
        <v>#N/A</v>
      </c>
    </row>
    <row r="173" spans="7:8" x14ac:dyDescent="0.25">
      <c r="G173">
        <f t="shared" si="6"/>
        <v>0</v>
      </c>
      <c r="H173" t="e">
        <f t="shared" si="7"/>
        <v>#N/A</v>
      </c>
    </row>
    <row r="174" spans="7:8" x14ac:dyDescent="0.25">
      <c r="G174">
        <f t="shared" si="6"/>
        <v>0</v>
      </c>
      <c r="H174" t="e">
        <f t="shared" si="7"/>
        <v>#N/A</v>
      </c>
    </row>
    <row r="175" spans="7:8" x14ac:dyDescent="0.25">
      <c r="G175">
        <f t="shared" si="6"/>
        <v>0</v>
      </c>
      <c r="H175" t="e">
        <f t="shared" si="7"/>
        <v>#N/A</v>
      </c>
    </row>
    <row r="176" spans="7:8" x14ac:dyDescent="0.25">
      <c r="G176">
        <f t="shared" si="6"/>
        <v>0</v>
      </c>
      <c r="H176" t="e">
        <f t="shared" si="7"/>
        <v>#N/A</v>
      </c>
    </row>
    <row r="177" spans="7:8" x14ac:dyDescent="0.25">
      <c r="G177">
        <f t="shared" si="6"/>
        <v>0</v>
      </c>
      <c r="H177" t="e">
        <f t="shared" si="7"/>
        <v>#N/A</v>
      </c>
    </row>
    <row r="178" spans="7:8" x14ac:dyDescent="0.25">
      <c r="G178">
        <f t="shared" si="6"/>
        <v>0</v>
      </c>
      <c r="H178" t="e">
        <f t="shared" si="7"/>
        <v>#N/A</v>
      </c>
    </row>
    <row r="179" spans="7:8" x14ac:dyDescent="0.25">
      <c r="G179">
        <f t="shared" si="6"/>
        <v>0</v>
      </c>
      <c r="H179" t="e">
        <f t="shared" si="7"/>
        <v>#N/A</v>
      </c>
    </row>
    <row r="180" spans="7:8" x14ac:dyDescent="0.25">
      <c r="G180">
        <f t="shared" si="6"/>
        <v>0</v>
      </c>
      <c r="H180" t="e">
        <f t="shared" si="7"/>
        <v>#N/A</v>
      </c>
    </row>
    <row r="181" spans="7:8" x14ac:dyDescent="0.25">
      <c r="G181">
        <f t="shared" si="6"/>
        <v>0</v>
      </c>
      <c r="H181" t="e">
        <f t="shared" si="7"/>
        <v>#N/A</v>
      </c>
    </row>
    <row r="182" spans="7:8" x14ac:dyDescent="0.25">
      <c r="G182">
        <f t="shared" si="6"/>
        <v>0</v>
      </c>
      <c r="H182" t="e">
        <f t="shared" si="7"/>
        <v>#N/A</v>
      </c>
    </row>
    <row r="183" spans="7:8" x14ac:dyDescent="0.25">
      <c r="G183">
        <f t="shared" si="6"/>
        <v>0</v>
      </c>
      <c r="H183" t="e">
        <f t="shared" si="7"/>
        <v>#N/A</v>
      </c>
    </row>
    <row r="184" spans="7:8" x14ac:dyDescent="0.25">
      <c r="G184">
        <f t="shared" si="6"/>
        <v>0</v>
      </c>
      <c r="H184" t="e">
        <f t="shared" si="7"/>
        <v>#N/A</v>
      </c>
    </row>
    <row r="185" spans="7:8" x14ac:dyDescent="0.25">
      <c r="G185">
        <f t="shared" si="6"/>
        <v>0</v>
      </c>
      <c r="H185" t="e">
        <f t="shared" si="7"/>
        <v>#N/A</v>
      </c>
    </row>
    <row r="186" spans="7:8" x14ac:dyDescent="0.25">
      <c r="G186">
        <f t="shared" si="6"/>
        <v>0</v>
      </c>
      <c r="H186" t="e">
        <f t="shared" si="7"/>
        <v>#N/A</v>
      </c>
    </row>
    <row r="187" spans="7:8" x14ac:dyDescent="0.25">
      <c r="G187">
        <f t="shared" si="6"/>
        <v>0</v>
      </c>
      <c r="H187" t="e">
        <f t="shared" si="7"/>
        <v>#N/A</v>
      </c>
    </row>
    <row r="188" spans="7:8" x14ac:dyDescent="0.25">
      <c r="G188">
        <f t="shared" si="6"/>
        <v>0</v>
      </c>
      <c r="H188" t="e">
        <f t="shared" si="7"/>
        <v>#N/A</v>
      </c>
    </row>
    <row r="189" spans="7:8" x14ac:dyDescent="0.25">
      <c r="G189">
        <f t="shared" si="6"/>
        <v>0</v>
      </c>
      <c r="H189" t="e">
        <f t="shared" si="7"/>
        <v>#N/A</v>
      </c>
    </row>
    <row r="190" spans="7:8" x14ac:dyDescent="0.25">
      <c r="G190">
        <f t="shared" si="6"/>
        <v>0</v>
      </c>
      <c r="H190" t="e">
        <f t="shared" si="7"/>
        <v>#N/A</v>
      </c>
    </row>
    <row r="191" spans="7:8" x14ac:dyDescent="0.25">
      <c r="G191">
        <f t="shared" si="6"/>
        <v>0</v>
      </c>
      <c r="H191" t="e">
        <f t="shared" si="7"/>
        <v>#N/A</v>
      </c>
    </row>
    <row r="192" spans="7:8" x14ac:dyDescent="0.25">
      <c r="G192">
        <f t="shared" si="6"/>
        <v>0</v>
      </c>
      <c r="H192" t="e">
        <f t="shared" si="7"/>
        <v>#N/A</v>
      </c>
    </row>
    <row r="193" spans="7:8" x14ac:dyDescent="0.25">
      <c r="G193">
        <f t="shared" si="6"/>
        <v>0</v>
      </c>
      <c r="H193" t="e">
        <f t="shared" si="7"/>
        <v>#N/A</v>
      </c>
    </row>
    <row r="194" spans="7:8" x14ac:dyDescent="0.25">
      <c r="G194">
        <f t="shared" si="6"/>
        <v>0</v>
      </c>
      <c r="H194" t="e">
        <f t="shared" si="7"/>
        <v>#N/A</v>
      </c>
    </row>
    <row r="195" spans="7:8" x14ac:dyDescent="0.25">
      <c r="G195">
        <f t="shared" ref="G195:G258" si="8">IF(OR($F195="SETTLING",$F195="READY"),NA(),$C195)</f>
        <v>0</v>
      </c>
      <c r="H195" t="e">
        <f t="shared" ref="H195:H258" si="9">IF($F195="SETTLING", $C195, NA())</f>
        <v>#N/A</v>
      </c>
    </row>
    <row r="196" spans="7:8" x14ac:dyDescent="0.25">
      <c r="G196">
        <f t="shared" si="8"/>
        <v>0</v>
      </c>
      <c r="H196" t="e">
        <f t="shared" si="9"/>
        <v>#N/A</v>
      </c>
    </row>
    <row r="197" spans="7:8" x14ac:dyDescent="0.25">
      <c r="G197">
        <f t="shared" si="8"/>
        <v>0</v>
      </c>
      <c r="H197" t="e">
        <f t="shared" si="9"/>
        <v>#N/A</v>
      </c>
    </row>
    <row r="198" spans="7:8" x14ac:dyDescent="0.25">
      <c r="G198">
        <f t="shared" si="8"/>
        <v>0</v>
      </c>
      <c r="H198" t="e">
        <f t="shared" si="9"/>
        <v>#N/A</v>
      </c>
    </row>
    <row r="199" spans="7:8" x14ac:dyDescent="0.25">
      <c r="G199">
        <f t="shared" si="8"/>
        <v>0</v>
      </c>
      <c r="H199" t="e">
        <f t="shared" si="9"/>
        <v>#N/A</v>
      </c>
    </row>
    <row r="200" spans="7:8" x14ac:dyDescent="0.25">
      <c r="G200">
        <f t="shared" si="8"/>
        <v>0</v>
      </c>
      <c r="H200" t="e">
        <f t="shared" si="9"/>
        <v>#N/A</v>
      </c>
    </row>
    <row r="201" spans="7:8" x14ac:dyDescent="0.25">
      <c r="G201">
        <f t="shared" si="8"/>
        <v>0</v>
      </c>
      <c r="H201" t="e">
        <f t="shared" si="9"/>
        <v>#N/A</v>
      </c>
    </row>
    <row r="202" spans="7:8" x14ac:dyDescent="0.25">
      <c r="G202">
        <f t="shared" si="8"/>
        <v>0</v>
      </c>
      <c r="H202" t="e">
        <f t="shared" si="9"/>
        <v>#N/A</v>
      </c>
    </row>
    <row r="203" spans="7:8" x14ac:dyDescent="0.25">
      <c r="G203">
        <f t="shared" si="8"/>
        <v>0</v>
      </c>
      <c r="H203" t="e">
        <f t="shared" si="9"/>
        <v>#N/A</v>
      </c>
    </row>
    <row r="204" spans="7:8" x14ac:dyDescent="0.25">
      <c r="G204">
        <f t="shared" si="8"/>
        <v>0</v>
      </c>
      <c r="H204" t="e">
        <f t="shared" si="9"/>
        <v>#N/A</v>
      </c>
    </row>
    <row r="205" spans="7:8" x14ac:dyDescent="0.25">
      <c r="G205">
        <f t="shared" si="8"/>
        <v>0</v>
      </c>
      <c r="H205" t="e">
        <f t="shared" si="9"/>
        <v>#N/A</v>
      </c>
    </row>
    <row r="206" spans="7:8" x14ac:dyDescent="0.25">
      <c r="G206">
        <f t="shared" si="8"/>
        <v>0</v>
      </c>
      <c r="H206" t="e">
        <f t="shared" si="9"/>
        <v>#N/A</v>
      </c>
    </row>
    <row r="207" spans="7:8" x14ac:dyDescent="0.25">
      <c r="G207">
        <f t="shared" si="8"/>
        <v>0</v>
      </c>
      <c r="H207" t="e">
        <f t="shared" si="9"/>
        <v>#N/A</v>
      </c>
    </row>
    <row r="208" spans="7:8" x14ac:dyDescent="0.25">
      <c r="G208">
        <f t="shared" si="8"/>
        <v>0</v>
      </c>
      <c r="H208" t="e">
        <f t="shared" si="9"/>
        <v>#N/A</v>
      </c>
    </row>
    <row r="209" spans="7:8" x14ac:dyDescent="0.25">
      <c r="G209">
        <f t="shared" si="8"/>
        <v>0</v>
      </c>
      <c r="H209" t="e">
        <f t="shared" si="9"/>
        <v>#N/A</v>
      </c>
    </row>
    <row r="210" spans="7:8" x14ac:dyDescent="0.25">
      <c r="G210">
        <f t="shared" si="8"/>
        <v>0</v>
      </c>
      <c r="H210" t="e">
        <f t="shared" si="9"/>
        <v>#N/A</v>
      </c>
    </row>
    <row r="211" spans="7:8" x14ac:dyDescent="0.25">
      <c r="G211">
        <f t="shared" si="8"/>
        <v>0</v>
      </c>
      <c r="H211" t="e">
        <f t="shared" si="9"/>
        <v>#N/A</v>
      </c>
    </row>
    <row r="212" spans="7:8" x14ac:dyDescent="0.25">
      <c r="G212">
        <f t="shared" si="8"/>
        <v>0</v>
      </c>
      <c r="H212" t="e">
        <f t="shared" si="9"/>
        <v>#N/A</v>
      </c>
    </row>
    <row r="213" spans="7:8" x14ac:dyDescent="0.25">
      <c r="G213">
        <f t="shared" si="8"/>
        <v>0</v>
      </c>
      <c r="H213" t="e">
        <f t="shared" si="9"/>
        <v>#N/A</v>
      </c>
    </row>
    <row r="214" spans="7:8" x14ac:dyDescent="0.25">
      <c r="G214">
        <f t="shared" si="8"/>
        <v>0</v>
      </c>
      <c r="H214" t="e">
        <f t="shared" si="9"/>
        <v>#N/A</v>
      </c>
    </row>
    <row r="215" spans="7:8" x14ac:dyDescent="0.25">
      <c r="G215">
        <f t="shared" si="8"/>
        <v>0</v>
      </c>
      <c r="H215" t="e">
        <f t="shared" si="9"/>
        <v>#N/A</v>
      </c>
    </row>
    <row r="216" spans="7:8" x14ac:dyDescent="0.25">
      <c r="G216">
        <f t="shared" si="8"/>
        <v>0</v>
      </c>
      <c r="H216" t="e">
        <f t="shared" si="9"/>
        <v>#N/A</v>
      </c>
    </row>
    <row r="217" spans="7:8" x14ac:dyDescent="0.25">
      <c r="G217">
        <f t="shared" si="8"/>
        <v>0</v>
      </c>
      <c r="H217" t="e">
        <f t="shared" si="9"/>
        <v>#N/A</v>
      </c>
    </row>
    <row r="218" spans="7:8" x14ac:dyDescent="0.25">
      <c r="G218">
        <f t="shared" si="8"/>
        <v>0</v>
      </c>
      <c r="H218" t="e">
        <f t="shared" si="9"/>
        <v>#N/A</v>
      </c>
    </row>
    <row r="219" spans="7:8" x14ac:dyDescent="0.25">
      <c r="G219">
        <f t="shared" si="8"/>
        <v>0</v>
      </c>
      <c r="H219" t="e">
        <f t="shared" si="9"/>
        <v>#N/A</v>
      </c>
    </row>
    <row r="220" spans="7:8" x14ac:dyDescent="0.25">
      <c r="G220">
        <f t="shared" si="8"/>
        <v>0</v>
      </c>
      <c r="H220" t="e">
        <f t="shared" si="9"/>
        <v>#N/A</v>
      </c>
    </row>
    <row r="221" spans="7:8" x14ac:dyDescent="0.25">
      <c r="G221">
        <f t="shared" si="8"/>
        <v>0</v>
      </c>
      <c r="H221" t="e">
        <f t="shared" si="9"/>
        <v>#N/A</v>
      </c>
    </row>
    <row r="222" spans="7:8" x14ac:dyDescent="0.25">
      <c r="G222">
        <f t="shared" si="8"/>
        <v>0</v>
      </c>
      <c r="H222" t="e">
        <f t="shared" si="9"/>
        <v>#N/A</v>
      </c>
    </row>
    <row r="223" spans="7:8" x14ac:dyDescent="0.25">
      <c r="G223">
        <f t="shared" si="8"/>
        <v>0</v>
      </c>
      <c r="H223" t="e">
        <f t="shared" si="9"/>
        <v>#N/A</v>
      </c>
    </row>
    <row r="224" spans="7:8" x14ac:dyDescent="0.25">
      <c r="G224">
        <f t="shared" si="8"/>
        <v>0</v>
      </c>
      <c r="H224" t="e">
        <f t="shared" si="9"/>
        <v>#N/A</v>
      </c>
    </row>
    <row r="225" spans="7:8" x14ac:dyDescent="0.25">
      <c r="G225">
        <f t="shared" si="8"/>
        <v>0</v>
      </c>
      <c r="H225" t="e">
        <f t="shared" si="9"/>
        <v>#N/A</v>
      </c>
    </row>
    <row r="226" spans="7:8" x14ac:dyDescent="0.25">
      <c r="G226">
        <f t="shared" si="8"/>
        <v>0</v>
      </c>
      <c r="H226" t="e">
        <f t="shared" si="9"/>
        <v>#N/A</v>
      </c>
    </row>
    <row r="227" spans="7:8" x14ac:dyDescent="0.25">
      <c r="G227">
        <f t="shared" si="8"/>
        <v>0</v>
      </c>
      <c r="H227" t="e">
        <f t="shared" si="9"/>
        <v>#N/A</v>
      </c>
    </row>
    <row r="228" spans="7:8" x14ac:dyDescent="0.25">
      <c r="G228">
        <f t="shared" si="8"/>
        <v>0</v>
      </c>
      <c r="H228" t="e">
        <f t="shared" si="9"/>
        <v>#N/A</v>
      </c>
    </row>
    <row r="229" spans="7:8" x14ac:dyDescent="0.25">
      <c r="G229">
        <f t="shared" si="8"/>
        <v>0</v>
      </c>
      <c r="H229" t="e">
        <f t="shared" si="9"/>
        <v>#N/A</v>
      </c>
    </row>
    <row r="230" spans="7:8" x14ac:dyDescent="0.25">
      <c r="G230">
        <f t="shared" si="8"/>
        <v>0</v>
      </c>
      <c r="H230" t="e">
        <f t="shared" si="9"/>
        <v>#N/A</v>
      </c>
    </row>
    <row r="231" spans="7:8" x14ac:dyDescent="0.25">
      <c r="G231">
        <f t="shared" si="8"/>
        <v>0</v>
      </c>
      <c r="H231" t="e">
        <f t="shared" si="9"/>
        <v>#N/A</v>
      </c>
    </row>
    <row r="232" spans="7:8" x14ac:dyDescent="0.25">
      <c r="G232">
        <f t="shared" si="8"/>
        <v>0</v>
      </c>
      <c r="H232" t="e">
        <f t="shared" si="9"/>
        <v>#N/A</v>
      </c>
    </row>
    <row r="233" spans="7:8" x14ac:dyDescent="0.25">
      <c r="G233">
        <f t="shared" si="8"/>
        <v>0</v>
      </c>
      <c r="H233" t="e">
        <f t="shared" si="9"/>
        <v>#N/A</v>
      </c>
    </row>
    <row r="234" spans="7:8" x14ac:dyDescent="0.25">
      <c r="G234">
        <f t="shared" si="8"/>
        <v>0</v>
      </c>
      <c r="H234" t="e">
        <f t="shared" si="9"/>
        <v>#N/A</v>
      </c>
    </row>
    <row r="235" spans="7:8" x14ac:dyDescent="0.25">
      <c r="G235">
        <f t="shared" si="8"/>
        <v>0</v>
      </c>
      <c r="H235" t="e">
        <f t="shared" si="9"/>
        <v>#N/A</v>
      </c>
    </row>
    <row r="236" spans="7:8" x14ac:dyDescent="0.25">
      <c r="G236">
        <f t="shared" si="8"/>
        <v>0</v>
      </c>
      <c r="H236" t="e">
        <f t="shared" si="9"/>
        <v>#N/A</v>
      </c>
    </row>
    <row r="237" spans="7:8" x14ac:dyDescent="0.25">
      <c r="G237">
        <f t="shared" si="8"/>
        <v>0</v>
      </c>
      <c r="H237" t="e">
        <f t="shared" si="9"/>
        <v>#N/A</v>
      </c>
    </row>
    <row r="238" spans="7:8" x14ac:dyDescent="0.25">
      <c r="G238">
        <f t="shared" si="8"/>
        <v>0</v>
      </c>
      <c r="H238" t="e">
        <f t="shared" si="9"/>
        <v>#N/A</v>
      </c>
    </row>
    <row r="239" spans="7:8" x14ac:dyDescent="0.25">
      <c r="G239">
        <f t="shared" si="8"/>
        <v>0</v>
      </c>
      <c r="H239" t="e">
        <f t="shared" si="9"/>
        <v>#N/A</v>
      </c>
    </row>
    <row r="240" spans="7:8" x14ac:dyDescent="0.25">
      <c r="G240">
        <f t="shared" si="8"/>
        <v>0</v>
      </c>
      <c r="H240" t="e">
        <f t="shared" si="9"/>
        <v>#N/A</v>
      </c>
    </row>
    <row r="241" spans="7:8" x14ac:dyDescent="0.25">
      <c r="G241">
        <f t="shared" si="8"/>
        <v>0</v>
      </c>
      <c r="H241" t="e">
        <f t="shared" si="9"/>
        <v>#N/A</v>
      </c>
    </row>
    <row r="242" spans="7:8" x14ac:dyDescent="0.25">
      <c r="G242">
        <f t="shared" si="8"/>
        <v>0</v>
      </c>
      <c r="H242" t="e">
        <f t="shared" si="9"/>
        <v>#N/A</v>
      </c>
    </row>
    <row r="243" spans="7:8" x14ac:dyDescent="0.25">
      <c r="G243">
        <f t="shared" si="8"/>
        <v>0</v>
      </c>
      <c r="H243" t="e">
        <f t="shared" si="9"/>
        <v>#N/A</v>
      </c>
    </row>
    <row r="244" spans="7:8" x14ac:dyDescent="0.25">
      <c r="G244">
        <f t="shared" si="8"/>
        <v>0</v>
      </c>
      <c r="H244" t="e">
        <f t="shared" si="9"/>
        <v>#N/A</v>
      </c>
    </row>
    <row r="245" spans="7:8" x14ac:dyDescent="0.25">
      <c r="G245">
        <f t="shared" si="8"/>
        <v>0</v>
      </c>
      <c r="H245" t="e">
        <f t="shared" si="9"/>
        <v>#N/A</v>
      </c>
    </row>
    <row r="246" spans="7:8" x14ac:dyDescent="0.25">
      <c r="G246">
        <f t="shared" si="8"/>
        <v>0</v>
      </c>
      <c r="H246" t="e">
        <f t="shared" si="9"/>
        <v>#N/A</v>
      </c>
    </row>
    <row r="247" spans="7:8" x14ac:dyDescent="0.25">
      <c r="G247">
        <f t="shared" si="8"/>
        <v>0</v>
      </c>
      <c r="H247" t="e">
        <f t="shared" si="9"/>
        <v>#N/A</v>
      </c>
    </row>
    <row r="248" spans="7:8" x14ac:dyDescent="0.25">
      <c r="G248">
        <f t="shared" si="8"/>
        <v>0</v>
      </c>
      <c r="H248" t="e">
        <f t="shared" si="9"/>
        <v>#N/A</v>
      </c>
    </row>
    <row r="249" spans="7:8" x14ac:dyDescent="0.25">
      <c r="G249">
        <f t="shared" si="8"/>
        <v>0</v>
      </c>
      <c r="H249" t="e">
        <f t="shared" si="9"/>
        <v>#N/A</v>
      </c>
    </row>
    <row r="250" spans="7:8" x14ac:dyDescent="0.25">
      <c r="G250">
        <f t="shared" si="8"/>
        <v>0</v>
      </c>
      <c r="H250" t="e">
        <f t="shared" si="9"/>
        <v>#N/A</v>
      </c>
    </row>
    <row r="251" spans="7:8" x14ac:dyDescent="0.25">
      <c r="G251">
        <f t="shared" si="8"/>
        <v>0</v>
      </c>
      <c r="H251" t="e">
        <f t="shared" si="9"/>
        <v>#N/A</v>
      </c>
    </row>
    <row r="252" spans="7:8" x14ac:dyDescent="0.25">
      <c r="G252">
        <f t="shared" si="8"/>
        <v>0</v>
      </c>
      <c r="H252" t="e">
        <f t="shared" si="9"/>
        <v>#N/A</v>
      </c>
    </row>
    <row r="253" spans="7:8" x14ac:dyDescent="0.25">
      <c r="G253">
        <f t="shared" si="8"/>
        <v>0</v>
      </c>
      <c r="H253" t="e">
        <f t="shared" si="9"/>
        <v>#N/A</v>
      </c>
    </row>
    <row r="254" spans="7:8" x14ac:dyDescent="0.25">
      <c r="G254">
        <f t="shared" si="8"/>
        <v>0</v>
      </c>
      <c r="H254" t="e">
        <f t="shared" si="9"/>
        <v>#N/A</v>
      </c>
    </row>
    <row r="255" spans="7:8" x14ac:dyDescent="0.25">
      <c r="G255">
        <f t="shared" si="8"/>
        <v>0</v>
      </c>
      <c r="H255" t="e">
        <f t="shared" si="9"/>
        <v>#N/A</v>
      </c>
    </row>
    <row r="256" spans="7:8" x14ac:dyDescent="0.25">
      <c r="G256">
        <f t="shared" si="8"/>
        <v>0</v>
      </c>
      <c r="H256" t="e">
        <f t="shared" si="9"/>
        <v>#N/A</v>
      </c>
    </row>
    <row r="257" spans="7:8" x14ac:dyDescent="0.25">
      <c r="G257">
        <f t="shared" si="8"/>
        <v>0</v>
      </c>
      <c r="H257" t="e">
        <f t="shared" si="9"/>
        <v>#N/A</v>
      </c>
    </row>
    <row r="258" spans="7:8" x14ac:dyDescent="0.25">
      <c r="G258">
        <f t="shared" si="8"/>
        <v>0</v>
      </c>
      <c r="H258" t="e">
        <f t="shared" si="9"/>
        <v>#N/A</v>
      </c>
    </row>
    <row r="259" spans="7:8" x14ac:dyDescent="0.25">
      <c r="G259">
        <f t="shared" ref="G259:G322" si="10">IF(OR($F259="SETTLING",$F259="READY"),NA(),$C259)</f>
        <v>0</v>
      </c>
      <c r="H259" t="e">
        <f t="shared" ref="H259:H322" si="11">IF($F259="SETTLING", $C259, NA())</f>
        <v>#N/A</v>
      </c>
    </row>
    <row r="260" spans="7:8" x14ac:dyDescent="0.25">
      <c r="G260">
        <f t="shared" si="10"/>
        <v>0</v>
      </c>
      <c r="H260" t="e">
        <f t="shared" si="11"/>
        <v>#N/A</v>
      </c>
    </row>
    <row r="261" spans="7:8" x14ac:dyDescent="0.25">
      <c r="G261">
        <f t="shared" si="10"/>
        <v>0</v>
      </c>
      <c r="H261" t="e">
        <f t="shared" si="11"/>
        <v>#N/A</v>
      </c>
    </row>
    <row r="262" spans="7:8" x14ac:dyDescent="0.25">
      <c r="G262">
        <f t="shared" si="10"/>
        <v>0</v>
      </c>
      <c r="H262" t="e">
        <f t="shared" si="11"/>
        <v>#N/A</v>
      </c>
    </row>
    <row r="263" spans="7:8" x14ac:dyDescent="0.25">
      <c r="G263">
        <f t="shared" si="10"/>
        <v>0</v>
      </c>
      <c r="H263" t="e">
        <f t="shared" si="11"/>
        <v>#N/A</v>
      </c>
    </row>
    <row r="264" spans="7:8" x14ac:dyDescent="0.25">
      <c r="G264">
        <f t="shared" si="10"/>
        <v>0</v>
      </c>
      <c r="H264" t="e">
        <f t="shared" si="11"/>
        <v>#N/A</v>
      </c>
    </row>
    <row r="265" spans="7:8" x14ac:dyDescent="0.25">
      <c r="G265">
        <f t="shared" si="10"/>
        <v>0</v>
      </c>
      <c r="H265" t="e">
        <f t="shared" si="11"/>
        <v>#N/A</v>
      </c>
    </row>
    <row r="266" spans="7:8" x14ac:dyDescent="0.25">
      <c r="G266">
        <f t="shared" si="10"/>
        <v>0</v>
      </c>
      <c r="H266" t="e">
        <f t="shared" si="11"/>
        <v>#N/A</v>
      </c>
    </row>
    <row r="267" spans="7:8" x14ac:dyDescent="0.25">
      <c r="G267">
        <f t="shared" si="10"/>
        <v>0</v>
      </c>
      <c r="H267" t="e">
        <f t="shared" si="11"/>
        <v>#N/A</v>
      </c>
    </row>
    <row r="268" spans="7:8" x14ac:dyDescent="0.25">
      <c r="G268">
        <f t="shared" si="10"/>
        <v>0</v>
      </c>
      <c r="H268" t="e">
        <f t="shared" si="11"/>
        <v>#N/A</v>
      </c>
    </row>
    <row r="269" spans="7:8" x14ac:dyDescent="0.25">
      <c r="G269">
        <f t="shared" si="10"/>
        <v>0</v>
      </c>
      <c r="H269" t="e">
        <f t="shared" si="11"/>
        <v>#N/A</v>
      </c>
    </row>
    <row r="270" spans="7:8" x14ac:dyDescent="0.25">
      <c r="G270">
        <f t="shared" si="10"/>
        <v>0</v>
      </c>
      <c r="H270" t="e">
        <f t="shared" si="11"/>
        <v>#N/A</v>
      </c>
    </row>
    <row r="271" spans="7:8" x14ac:dyDescent="0.25">
      <c r="G271">
        <f t="shared" si="10"/>
        <v>0</v>
      </c>
      <c r="H271" t="e">
        <f t="shared" si="11"/>
        <v>#N/A</v>
      </c>
    </row>
    <row r="272" spans="7:8" x14ac:dyDescent="0.25">
      <c r="G272">
        <f t="shared" si="10"/>
        <v>0</v>
      </c>
      <c r="H272" t="e">
        <f t="shared" si="11"/>
        <v>#N/A</v>
      </c>
    </row>
    <row r="273" spans="7:8" x14ac:dyDescent="0.25">
      <c r="G273">
        <f t="shared" si="10"/>
        <v>0</v>
      </c>
      <c r="H273" t="e">
        <f t="shared" si="11"/>
        <v>#N/A</v>
      </c>
    </row>
    <row r="274" spans="7:8" x14ac:dyDescent="0.25">
      <c r="G274">
        <f t="shared" si="10"/>
        <v>0</v>
      </c>
      <c r="H274" t="e">
        <f t="shared" si="11"/>
        <v>#N/A</v>
      </c>
    </row>
    <row r="275" spans="7:8" x14ac:dyDescent="0.25">
      <c r="G275">
        <f t="shared" si="10"/>
        <v>0</v>
      </c>
      <c r="H275" t="e">
        <f t="shared" si="11"/>
        <v>#N/A</v>
      </c>
    </row>
    <row r="276" spans="7:8" x14ac:dyDescent="0.25">
      <c r="G276">
        <f t="shared" si="10"/>
        <v>0</v>
      </c>
      <c r="H276" t="e">
        <f t="shared" si="11"/>
        <v>#N/A</v>
      </c>
    </row>
    <row r="277" spans="7:8" x14ac:dyDescent="0.25">
      <c r="G277">
        <f t="shared" si="10"/>
        <v>0</v>
      </c>
      <c r="H277" t="e">
        <f t="shared" si="11"/>
        <v>#N/A</v>
      </c>
    </row>
    <row r="278" spans="7:8" x14ac:dyDescent="0.25">
      <c r="G278">
        <f t="shared" si="10"/>
        <v>0</v>
      </c>
      <c r="H278" t="e">
        <f t="shared" si="11"/>
        <v>#N/A</v>
      </c>
    </row>
    <row r="279" spans="7:8" x14ac:dyDescent="0.25">
      <c r="G279">
        <f t="shared" si="10"/>
        <v>0</v>
      </c>
      <c r="H279" t="e">
        <f t="shared" si="11"/>
        <v>#N/A</v>
      </c>
    </row>
    <row r="280" spans="7:8" x14ac:dyDescent="0.25">
      <c r="G280">
        <f t="shared" si="10"/>
        <v>0</v>
      </c>
      <c r="H280" t="e">
        <f t="shared" si="11"/>
        <v>#N/A</v>
      </c>
    </row>
    <row r="281" spans="7:8" x14ac:dyDescent="0.25">
      <c r="G281">
        <f t="shared" si="10"/>
        <v>0</v>
      </c>
      <c r="H281" t="e">
        <f t="shared" si="11"/>
        <v>#N/A</v>
      </c>
    </row>
    <row r="282" spans="7:8" x14ac:dyDescent="0.25">
      <c r="G282">
        <f t="shared" si="10"/>
        <v>0</v>
      </c>
      <c r="H282" t="e">
        <f t="shared" si="11"/>
        <v>#N/A</v>
      </c>
    </row>
    <row r="283" spans="7:8" x14ac:dyDescent="0.25">
      <c r="G283">
        <f t="shared" si="10"/>
        <v>0</v>
      </c>
      <c r="H283" t="e">
        <f t="shared" si="11"/>
        <v>#N/A</v>
      </c>
    </row>
    <row r="284" spans="7:8" x14ac:dyDescent="0.25">
      <c r="G284">
        <f t="shared" si="10"/>
        <v>0</v>
      </c>
      <c r="H284" t="e">
        <f t="shared" si="11"/>
        <v>#N/A</v>
      </c>
    </row>
    <row r="285" spans="7:8" x14ac:dyDescent="0.25">
      <c r="G285">
        <f t="shared" si="10"/>
        <v>0</v>
      </c>
      <c r="H285" t="e">
        <f t="shared" si="11"/>
        <v>#N/A</v>
      </c>
    </row>
    <row r="286" spans="7:8" x14ac:dyDescent="0.25">
      <c r="G286">
        <f t="shared" si="10"/>
        <v>0</v>
      </c>
      <c r="H286" t="e">
        <f t="shared" si="11"/>
        <v>#N/A</v>
      </c>
    </row>
    <row r="287" spans="7:8" x14ac:dyDescent="0.25">
      <c r="G287">
        <f t="shared" si="10"/>
        <v>0</v>
      </c>
      <c r="H287" t="e">
        <f t="shared" si="11"/>
        <v>#N/A</v>
      </c>
    </row>
    <row r="288" spans="7:8" x14ac:dyDescent="0.25">
      <c r="G288">
        <f t="shared" si="10"/>
        <v>0</v>
      </c>
      <c r="H288" t="e">
        <f t="shared" si="11"/>
        <v>#N/A</v>
      </c>
    </row>
    <row r="289" spans="7:8" x14ac:dyDescent="0.25">
      <c r="G289">
        <f t="shared" si="10"/>
        <v>0</v>
      </c>
      <c r="H289" t="e">
        <f t="shared" si="11"/>
        <v>#N/A</v>
      </c>
    </row>
    <row r="290" spans="7:8" x14ac:dyDescent="0.25">
      <c r="G290">
        <f t="shared" si="10"/>
        <v>0</v>
      </c>
      <c r="H290" t="e">
        <f t="shared" si="11"/>
        <v>#N/A</v>
      </c>
    </row>
    <row r="291" spans="7:8" x14ac:dyDescent="0.25">
      <c r="G291">
        <f t="shared" si="10"/>
        <v>0</v>
      </c>
      <c r="H291" t="e">
        <f t="shared" si="11"/>
        <v>#N/A</v>
      </c>
    </row>
    <row r="292" spans="7:8" x14ac:dyDescent="0.25">
      <c r="G292">
        <f t="shared" si="10"/>
        <v>0</v>
      </c>
      <c r="H292" t="e">
        <f t="shared" si="11"/>
        <v>#N/A</v>
      </c>
    </row>
    <row r="293" spans="7:8" x14ac:dyDescent="0.25">
      <c r="G293">
        <f t="shared" si="10"/>
        <v>0</v>
      </c>
      <c r="H293" t="e">
        <f t="shared" si="11"/>
        <v>#N/A</v>
      </c>
    </row>
    <row r="294" spans="7:8" x14ac:dyDescent="0.25">
      <c r="G294">
        <f t="shared" si="10"/>
        <v>0</v>
      </c>
      <c r="H294" t="e">
        <f t="shared" si="11"/>
        <v>#N/A</v>
      </c>
    </row>
    <row r="295" spans="7:8" x14ac:dyDescent="0.25">
      <c r="G295">
        <f t="shared" si="10"/>
        <v>0</v>
      </c>
      <c r="H295" t="e">
        <f t="shared" si="11"/>
        <v>#N/A</v>
      </c>
    </row>
    <row r="296" spans="7:8" x14ac:dyDescent="0.25">
      <c r="G296">
        <f t="shared" si="10"/>
        <v>0</v>
      </c>
      <c r="H296" t="e">
        <f t="shared" si="11"/>
        <v>#N/A</v>
      </c>
    </row>
    <row r="297" spans="7:8" x14ac:dyDescent="0.25">
      <c r="G297">
        <f t="shared" si="10"/>
        <v>0</v>
      </c>
      <c r="H297" t="e">
        <f t="shared" si="11"/>
        <v>#N/A</v>
      </c>
    </row>
    <row r="298" spans="7:8" x14ac:dyDescent="0.25">
      <c r="G298">
        <f t="shared" si="10"/>
        <v>0</v>
      </c>
      <c r="H298" t="e">
        <f t="shared" si="11"/>
        <v>#N/A</v>
      </c>
    </row>
    <row r="299" spans="7:8" x14ac:dyDescent="0.25">
      <c r="G299">
        <f t="shared" si="10"/>
        <v>0</v>
      </c>
      <c r="H299" t="e">
        <f t="shared" si="11"/>
        <v>#N/A</v>
      </c>
    </row>
    <row r="300" spans="7:8" x14ac:dyDescent="0.25">
      <c r="G300">
        <f t="shared" si="10"/>
        <v>0</v>
      </c>
      <c r="H300" t="e">
        <f t="shared" si="11"/>
        <v>#N/A</v>
      </c>
    </row>
    <row r="301" spans="7:8" x14ac:dyDescent="0.25">
      <c r="G301">
        <f t="shared" si="10"/>
        <v>0</v>
      </c>
      <c r="H301" t="e">
        <f t="shared" si="11"/>
        <v>#N/A</v>
      </c>
    </row>
    <row r="302" spans="7:8" x14ac:dyDescent="0.25">
      <c r="G302">
        <f t="shared" si="10"/>
        <v>0</v>
      </c>
      <c r="H302" t="e">
        <f t="shared" si="11"/>
        <v>#N/A</v>
      </c>
    </row>
    <row r="303" spans="7:8" x14ac:dyDescent="0.25">
      <c r="G303">
        <f t="shared" si="10"/>
        <v>0</v>
      </c>
      <c r="H303" t="e">
        <f t="shared" si="11"/>
        <v>#N/A</v>
      </c>
    </row>
    <row r="304" spans="7:8" x14ac:dyDescent="0.25">
      <c r="G304">
        <f t="shared" si="10"/>
        <v>0</v>
      </c>
      <c r="H304" t="e">
        <f t="shared" si="11"/>
        <v>#N/A</v>
      </c>
    </row>
    <row r="305" spans="7:8" x14ac:dyDescent="0.25">
      <c r="G305">
        <f t="shared" si="10"/>
        <v>0</v>
      </c>
      <c r="H305" t="e">
        <f t="shared" si="11"/>
        <v>#N/A</v>
      </c>
    </row>
    <row r="306" spans="7:8" x14ac:dyDescent="0.25">
      <c r="G306">
        <f t="shared" si="10"/>
        <v>0</v>
      </c>
      <c r="H306" t="e">
        <f t="shared" si="11"/>
        <v>#N/A</v>
      </c>
    </row>
    <row r="307" spans="7:8" x14ac:dyDescent="0.25">
      <c r="G307">
        <f t="shared" si="10"/>
        <v>0</v>
      </c>
      <c r="H307" t="e">
        <f t="shared" si="11"/>
        <v>#N/A</v>
      </c>
    </row>
    <row r="308" spans="7:8" x14ac:dyDescent="0.25">
      <c r="G308">
        <f t="shared" si="10"/>
        <v>0</v>
      </c>
      <c r="H308" t="e">
        <f t="shared" si="11"/>
        <v>#N/A</v>
      </c>
    </row>
    <row r="309" spans="7:8" x14ac:dyDescent="0.25">
      <c r="G309">
        <f t="shared" si="10"/>
        <v>0</v>
      </c>
      <c r="H309" t="e">
        <f t="shared" si="11"/>
        <v>#N/A</v>
      </c>
    </row>
    <row r="310" spans="7:8" x14ac:dyDescent="0.25">
      <c r="G310">
        <f t="shared" si="10"/>
        <v>0</v>
      </c>
      <c r="H310" t="e">
        <f t="shared" si="11"/>
        <v>#N/A</v>
      </c>
    </row>
    <row r="311" spans="7:8" x14ac:dyDescent="0.25">
      <c r="G311">
        <f t="shared" si="10"/>
        <v>0</v>
      </c>
      <c r="H311" t="e">
        <f t="shared" si="11"/>
        <v>#N/A</v>
      </c>
    </row>
    <row r="312" spans="7:8" x14ac:dyDescent="0.25">
      <c r="G312">
        <f t="shared" si="10"/>
        <v>0</v>
      </c>
      <c r="H312" t="e">
        <f t="shared" si="11"/>
        <v>#N/A</v>
      </c>
    </row>
    <row r="313" spans="7:8" x14ac:dyDescent="0.25">
      <c r="G313">
        <f t="shared" si="10"/>
        <v>0</v>
      </c>
      <c r="H313" t="e">
        <f t="shared" si="11"/>
        <v>#N/A</v>
      </c>
    </row>
    <row r="314" spans="7:8" x14ac:dyDescent="0.25">
      <c r="G314">
        <f t="shared" si="10"/>
        <v>0</v>
      </c>
      <c r="H314" t="e">
        <f t="shared" si="11"/>
        <v>#N/A</v>
      </c>
    </row>
    <row r="315" spans="7:8" x14ac:dyDescent="0.25">
      <c r="G315">
        <f t="shared" si="10"/>
        <v>0</v>
      </c>
      <c r="H315" t="e">
        <f t="shared" si="11"/>
        <v>#N/A</v>
      </c>
    </row>
    <row r="316" spans="7:8" x14ac:dyDescent="0.25">
      <c r="G316">
        <f t="shared" si="10"/>
        <v>0</v>
      </c>
      <c r="H316" t="e">
        <f t="shared" si="11"/>
        <v>#N/A</v>
      </c>
    </row>
    <row r="317" spans="7:8" x14ac:dyDescent="0.25">
      <c r="G317">
        <f t="shared" si="10"/>
        <v>0</v>
      </c>
      <c r="H317" t="e">
        <f t="shared" si="11"/>
        <v>#N/A</v>
      </c>
    </row>
    <row r="318" spans="7:8" x14ac:dyDescent="0.25">
      <c r="G318">
        <f t="shared" si="10"/>
        <v>0</v>
      </c>
      <c r="H318" t="e">
        <f t="shared" si="11"/>
        <v>#N/A</v>
      </c>
    </row>
    <row r="319" spans="7:8" x14ac:dyDescent="0.25">
      <c r="G319">
        <f t="shared" si="10"/>
        <v>0</v>
      </c>
      <c r="H319" t="e">
        <f t="shared" si="11"/>
        <v>#N/A</v>
      </c>
    </row>
    <row r="320" spans="7:8" x14ac:dyDescent="0.25">
      <c r="G320">
        <f t="shared" si="10"/>
        <v>0</v>
      </c>
      <c r="H320" t="e">
        <f t="shared" si="11"/>
        <v>#N/A</v>
      </c>
    </row>
    <row r="321" spans="7:8" x14ac:dyDescent="0.25">
      <c r="G321">
        <f t="shared" si="10"/>
        <v>0</v>
      </c>
      <c r="H321" t="e">
        <f t="shared" si="11"/>
        <v>#N/A</v>
      </c>
    </row>
    <row r="322" spans="7:8" x14ac:dyDescent="0.25">
      <c r="G322">
        <f t="shared" si="10"/>
        <v>0</v>
      </c>
      <c r="H322" t="e">
        <f t="shared" si="11"/>
        <v>#N/A</v>
      </c>
    </row>
    <row r="323" spans="7:8" x14ac:dyDescent="0.25">
      <c r="G323">
        <f t="shared" ref="G323:G386" si="12">IF(OR($F323="SETTLING",$F323="READY"),NA(),$C323)</f>
        <v>0</v>
      </c>
      <c r="H323" t="e">
        <f t="shared" ref="H323:H386" si="13">IF($F323="SETTLING", $C323, NA())</f>
        <v>#N/A</v>
      </c>
    </row>
    <row r="324" spans="7:8" x14ac:dyDescent="0.25">
      <c r="G324">
        <f t="shared" si="12"/>
        <v>0</v>
      </c>
      <c r="H324" t="e">
        <f t="shared" si="13"/>
        <v>#N/A</v>
      </c>
    </row>
    <row r="325" spans="7:8" x14ac:dyDescent="0.25">
      <c r="G325">
        <f t="shared" si="12"/>
        <v>0</v>
      </c>
      <c r="H325" t="e">
        <f t="shared" si="13"/>
        <v>#N/A</v>
      </c>
    </row>
    <row r="326" spans="7:8" x14ac:dyDescent="0.25">
      <c r="G326">
        <f t="shared" si="12"/>
        <v>0</v>
      </c>
      <c r="H326" t="e">
        <f t="shared" si="13"/>
        <v>#N/A</v>
      </c>
    </row>
    <row r="327" spans="7:8" x14ac:dyDescent="0.25">
      <c r="G327">
        <f t="shared" si="12"/>
        <v>0</v>
      </c>
      <c r="H327" t="e">
        <f t="shared" si="13"/>
        <v>#N/A</v>
      </c>
    </row>
    <row r="328" spans="7:8" x14ac:dyDescent="0.25">
      <c r="G328">
        <f t="shared" si="12"/>
        <v>0</v>
      </c>
      <c r="H328" t="e">
        <f t="shared" si="13"/>
        <v>#N/A</v>
      </c>
    </row>
    <row r="329" spans="7:8" x14ac:dyDescent="0.25">
      <c r="G329">
        <f t="shared" si="12"/>
        <v>0</v>
      </c>
      <c r="H329" t="e">
        <f t="shared" si="13"/>
        <v>#N/A</v>
      </c>
    </row>
    <row r="330" spans="7:8" x14ac:dyDescent="0.25">
      <c r="G330">
        <f t="shared" si="12"/>
        <v>0</v>
      </c>
      <c r="H330" t="e">
        <f t="shared" si="13"/>
        <v>#N/A</v>
      </c>
    </row>
    <row r="331" spans="7:8" x14ac:dyDescent="0.25">
      <c r="G331">
        <f t="shared" si="12"/>
        <v>0</v>
      </c>
      <c r="H331" t="e">
        <f t="shared" si="13"/>
        <v>#N/A</v>
      </c>
    </row>
    <row r="332" spans="7:8" x14ac:dyDescent="0.25">
      <c r="G332">
        <f t="shared" si="12"/>
        <v>0</v>
      </c>
      <c r="H332" t="e">
        <f t="shared" si="13"/>
        <v>#N/A</v>
      </c>
    </row>
    <row r="333" spans="7:8" x14ac:dyDescent="0.25">
      <c r="G333">
        <f t="shared" si="12"/>
        <v>0</v>
      </c>
      <c r="H333" t="e">
        <f t="shared" si="13"/>
        <v>#N/A</v>
      </c>
    </row>
    <row r="334" spans="7:8" x14ac:dyDescent="0.25">
      <c r="G334">
        <f t="shared" si="12"/>
        <v>0</v>
      </c>
      <c r="H334" t="e">
        <f t="shared" si="13"/>
        <v>#N/A</v>
      </c>
    </row>
    <row r="335" spans="7:8" x14ac:dyDescent="0.25">
      <c r="G335">
        <f t="shared" si="12"/>
        <v>0</v>
      </c>
      <c r="H335" t="e">
        <f t="shared" si="13"/>
        <v>#N/A</v>
      </c>
    </row>
    <row r="336" spans="7:8" x14ac:dyDescent="0.25">
      <c r="G336">
        <f t="shared" si="12"/>
        <v>0</v>
      </c>
      <c r="H336" t="e">
        <f t="shared" si="13"/>
        <v>#N/A</v>
      </c>
    </row>
    <row r="337" spans="7:8" x14ac:dyDescent="0.25">
      <c r="G337">
        <f t="shared" si="12"/>
        <v>0</v>
      </c>
      <c r="H337" t="e">
        <f t="shared" si="13"/>
        <v>#N/A</v>
      </c>
    </row>
    <row r="338" spans="7:8" x14ac:dyDescent="0.25">
      <c r="G338">
        <f t="shared" si="12"/>
        <v>0</v>
      </c>
      <c r="H338" t="e">
        <f t="shared" si="13"/>
        <v>#N/A</v>
      </c>
    </row>
    <row r="339" spans="7:8" x14ac:dyDescent="0.25">
      <c r="G339">
        <f t="shared" si="12"/>
        <v>0</v>
      </c>
      <c r="H339" t="e">
        <f t="shared" si="13"/>
        <v>#N/A</v>
      </c>
    </row>
    <row r="340" spans="7:8" x14ac:dyDescent="0.25">
      <c r="G340">
        <f t="shared" si="12"/>
        <v>0</v>
      </c>
      <c r="H340" t="e">
        <f t="shared" si="13"/>
        <v>#N/A</v>
      </c>
    </row>
    <row r="341" spans="7:8" x14ac:dyDescent="0.25">
      <c r="G341">
        <f t="shared" si="12"/>
        <v>0</v>
      </c>
      <c r="H341" t="e">
        <f t="shared" si="13"/>
        <v>#N/A</v>
      </c>
    </row>
    <row r="342" spans="7:8" x14ac:dyDescent="0.25">
      <c r="G342">
        <f t="shared" si="12"/>
        <v>0</v>
      </c>
      <c r="H342" t="e">
        <f t="shared" si="13"/>
        <v>#N/A</v>
      </c>
    </row>
    <row r="343" spans="7:8" x14ac:dyDescent="0.25">
      <c r="G343">
        <f t="shared" si="12"/>
        <v>0</v>
      </c>
      <c r="H343" t="e">
        <f t="shared" si="13"/>
        <v>#N/A</v>
      </c>
    </row>
    <row r="344" spans="7:8" x14ac:dyDescent="0.25">
      <c r="G344">
        <f t="shared" si="12"/>
        <v>0</v>
      </c>
      <c r="H344" t="e">
        <f t="shared" si="13"/>
        <v>#N/A</v>
      </c>
    </row>
    <row r="345" spans="7:8" x14ac:dyDescent="0.25">
      <c r="G345">
        <f t="shared" si="12"/>
        <v>0</v>
      </c>
      <c r="H345" t="e">
        <f t="shared" si="13"/>
        <v>#N/A</v>
      </c>
    </row>
    <row r="346" spans="7:8" x14ac:dyDescent="0.25">
      <c r="G346">
        <f t="shared" si="12"/>
        <v>0</v>
      </c>
      <c r="H346" t="e">
        <f t="shared" si="13"/>
        <v>#N/A</v>
      </c>
    </row>
    <row r="347" spans="7:8" x14ac:dyDescent="0.25">
      <c r="G347">
        <f t="shared" si="12"/>
        <v>0</v>
      </c>
      <c r="H347" t="e">
        <f t="shared" si="13"/>
        <v>#N/A</v>
      </c>
    </row>
    <row r="348" spans="7:8" x14ac:dyDescent="0.25">
      <c r="G348">
        <f t="shared" si="12"/>
        <v>0</v>
      </c>
      <c r="H348" t="e">
        <f t="shared" si="13"/>
        <v>#N/A</v>
      </c>
    </row>
    <row r="349" spans="7:8" x14ac:dyDescent="0.25">
      <c r="G349">
        <f t="shared" si="12"/>
        <v>0</v>
      </c>
      <c r="H349" t="e">
        <f t="shared" si="13"/>
        <v>#N/A</v>
      </c>
    </row>
    <row r="350" spans="7:8" x14ac:dyDescent="0.25">
      <c r="G350">
        <f t="shared" si="12"/>
        <v>0</v>
      </c>
      <c r="H350" t="e">
        <f t="shared" si="13"/>
        <v>#N/A</v>
      </c>
    </row>
    <row r="351" spans="7:8" x14ac:dyDescent="0.25">
      <c r="G351">
        <f t="shared" si="12"/>
        <v>0</v>
      </c>
      <c r="H351" t="e">
        <f t="shared" si="13"/>
        <v>#N/A</v>
      </c>
    </row>
    <row r="352" spans="7:8" x14ac:dyDescent="0.25">
      <c r="G352">
        <f t="shared" si="12"/>
        <v>0</v>
      </c>
      <c r="H352" t="e">
        <f t="shared" si="13"/>
        <v>#N/A</v>
      </c>
    </row>
    <row r="353" spans="7:8" x14ac:dyDescent="0.25">
      <c r="G353">
        <f t="shared" si="12"/>
        <v>0</v>
      </c>
      <c r="H353" t="e">
        <f t="shared" si="13"/>
        <v>#N/A</v>
      </c>
    </row>
    <row r="354" spans="7:8" x14ac:dyDescent="0.25">
      <c r="G354">
        <f t="shared" si="12"/>
        <v>0</v>
      </c>
      <c r="H354" t="e">
        <f t="shared" si="13"/>
        <v>#N/A</v>
      </c>
    </row>
    <row r="355" spans="7:8" x14ac:dyDescent="0.25">
      <c r="G355">
        <f t="shared" si="12"/>
        <v>0</v>
      </c>
      <c r="H355" t="e">
        <f t="shared" si="13"/>
        <v>#N/A</v>
      </c>
    </row>
    <row r="356" spans="7:8" x14ac:dyDescent="0.25">
      <c r="G356">
        <f t="shared" si="12"/>
        <v>0</v>
      </c>
      <c r="H356" t="e">
        <f t="shared" si="13"/>
        <v>#N/A</v>
      </c>
    </row>
    <row r="357" spans="7:8" x14ac:dyDescent="0.25">
      <c r="G357">
        <f t="shared" si="12"/>
        <v>0</v>
      </c>
      <c r="H357" t="e">
        <f t="shared" si="13"/>
        <v>#N/A</v>
      </c>
    </row>
    <row r="358" spans="7:8" x14ac:dyDescent="0.25">
      <c r="G358">
        <f t="shared" si="12"/>
        <v>0</v>
      </c>
      <c r="H358" t="e">
        <f t="shared" si="13"/>
        <v>#N/A</v>
      </c>
    </row>
    <row r="359" spans="7:8" x14ac:dyDescent="0.25">
      <c r="G359">
        <f t="shared" si="12"/>
        <v>0</v>
      </c>
      <c r="H359" t="e">
        <f t="shared" si="13"/>
        <v>#N/A</v>
      </c>
    </row>
    <row r="360" spans="7:8" x14ac:dyDescent="0.25">
      <c r="G360">
        <f t="shared" si="12"/>
        <v>0</v>
      </c>
      <c r="H360" t="e">
        <f t="shared" si="13"/>
        <v>#N/A</v>
      </c>
    </row>
    <row r="361" spans="7:8" x14ac:dyDescent="0.25">
      <c r="G361">
        <f t="shared" si="12"/>
        <v>0</v>
      </c>
      <c r="H361" t="e">
        <f t="shared" si="13"/>
        <v>#N/A</v>
      </c>
    </row>
    <row r="362" spans="7:8" x14ac:dyDescent="0.25">
      <c r="G362">
        <f t="shared" si="12"/>
        <v>0</v>
      </c>
      <c r="H362" t="e">
        <f t="shared" si="13"/>
        <v>#N/A</v>
      </c>
    </row>
    <row r="363" spans="7:8" x14ac:dyDescent="0.25">
      <c r="G363">
        <f t="shared" si="12"/>
        <v>0</v>
      </c>
      <c r="H363" t="e">
        <f t="shared" si="13"/>
        <v>#N/A</v>
      </c>
    </row>
    <row r="364" spans="7:8" x14ac:dyDescent="0.25">
      <c r="G364">
        <f t="shared" si="12"/>
        <v>0</v>
      </c>
      <c r="H364" t="e">
        <f t="shared" si="13"/>
        <v>#N/A</v>
      </c>
    </row>
    <row r="365" spans="7:8" x14ac:dyDescent="0.25">
      <c r="G365">
        <f t="shared" si="12"/>
        <v>0</v>
      </c>
      <c r="H365" t="e">
        <f t="shared" si="13"/>
        <v>#N/A</v>
      </c>
    </row>
    <row r="366" spans="7:8" x14ac:dyDescent="0.25">
      <c r="G366">
        <f t="shared" si="12"/>
        <v>0</v>
      </c>
      <c r="H366" t="e">
        <f t="shared" si="13"/>
        <v>#N/A</v>
      </c>
    </row>
    <row r="367" spans="7:8" x14ac:dyDescent="0.25">
      <c r="G367">
        <f t="shared" si="12"/>
        <v>0</v>
      </c>
      <c r="H367" t="e">
        <f t="shared" si="13"/>
        <v>#N/A</v>
      </c>
    </row>
    <row r="368" spans="7:8" x14ac:dyDescent="0.25">
      <c r="G368">
        <f t="shared" si="12"/>
        <v>0</v>
      </c>
      <c r="H368" t="e">
        <f t="shared" si="13"/>
        <v>#N/A</v>
      </c>
    </row>
    <row r="369" spans="7:8" x14ac:dyDescent="0.25">
      <c r="G369">
        <f t="shared" si="12"/>
        <v>0</v>
      </c>
      <c r="H369" t="e">
        <f t="shared" si="13"/>
        <v>#N/A</v>
      </c>
    </row>
    <row r="370" spans="7:8" x14ac:dyDescent="0.25">
      <c r="G370">
        <f t="shared" si="12"/>
        <v>0</v>
      </c>
      <c r="H370" t="e">
        <f t="shared" si="13"/>
        <v>#N/A</v>
      </c>
    </row>
    <row r="371" spans="7:8" x14ac:dyDescent="0.25">
      <c r="G371">
        <f t="shared" si="12"/>
        <v>0</v>
      </c>
      <c r="H371" t="e">
        <f t="shared" si="13"/>
        <v>#N/A</v>
      </c>
    </row>
    <row r="372" spans="7:8" x14ac:dyDescent="0.25">
      <c r="G372">
        <f t="shared" si="12"/>
        <v>0</v>
      </c>
      <c r="H372" t="e">
        <f t="shared" si="13"/>
        <v>#N/A</v>
      </c>
    </row>
    <row r="373" spans="7:8" x14ac:dyDescent="0.25">
      <c r="G373">
        <f t="shared" si="12"/>
        <v>0</v>
      </c>
      <c r="H373" t="e">
        <f t="shared" si="13"/>
        <v>#N/A</v>
      </c>
    </row>
    <row r="374" spans="7:8" x14ac:dyDescent="0.25">
      <c r="G374">
        <f t="shared" si="12"/>
        <v>0</v>
      </c>
      <c r="H374" t="e">
        <f t="shared" si="13"/>
        <v>#N/A</v>
      </c>
    </row>
    <row r="375" spans="7:8" x14ac:dyDescent="0.25">
      <c r="G375">
        <f t="shared" si="12"/>
        <v>0</v>
      </c>
      <c r="H375" t="e">
        <f t="shared" si="13"/>
        <v>#N/A</v>
      </c>
    </row>
    <row r="376" spans="7:8" x14ac:dyDescent="0.25">
      <c r="G376">
        <f t="shared" si="12"/>
        <v>0</v>
      </c>
      <c r="H376" t="e">
        <f t="shared" si="13"/>
        <v>#N/A</v>
      </c>
    </row>
    <row r="377" spans="7:8" x14ac:dyDescent="0.25">
      <c r="G377">
        <f t="shared" si="12"/>
        <v>0</v>
      </c>
      <c r="H377" t="e">
        <f t="shared" si="13"/>
        <v>#N/A</v>
      </c>
    </row>
    <row r="378" spans="7:8" x14ac:dyDescent="0.25">
      <c r="G378">
        <f t="shared" si="12"/>
        <v>0</v>
      </c>
      <c r="H378" t="e">
        <f t="shared" si="13"/>
        <v>#N/A</v>
      </c>
    </row>
    <row r="379" spans="7:8" x14ac:dyDescent="0.25">
      <c r="G379">
        <f t="shared" si="12"/>
        <v>0</v>
      </c>
      <c r="H379" t="e">
        <f t="shared" si="13"/>
        <v>#N/A</v>
      </c>
    </row>
    <row r="380" spans="7:8" x14ac:dyDescent="0.25">
      <c r="G380">
        <f t="shared" si="12"/>
        <v>0</v>
      </c>
      <c r="H380" t="e">
        <f t="shared" si="13"/>
        <v>#N/A</v>
      </c>
    </row>
    <row r="381" spans="7:8" x14ac:dyDescent="0.25">
      <c r="G381">
        <f t="shared" si="12"/>
        <v>0</v>
      </c>
      <c r="H381" t="e">
        <f t="shared" si="13"/>
        <v>#N/A</v>
      </c>
    </row>
    <row r="382" spans="7:8" x14ac:dyDescent="0.25">
      <c r="G382">
        <f t="shared" si="12"/>
        <v>0</v>
      </c>
      <c r="H382" t="e">
        <f t="shared" si="13"/>
        <v>#N/A</v>
      </c>
    </row>
    <row r="383" spans="7:8" x14ac:dyDescent="0.25">
      <c r="G383">
        <f t="shared" si="12"/>
        <v>0</v>
      </c>
      <c r="H383" t="e">
        <f t="shared" si="13"/>
        <v>#N/A</v>
      </c>
    </row>
    <row r="384" spans="7:8" x14ac:dyDescent="0.25">
      <c r="G384">
        <f t="shared" si="12"/>
        <v>0</v>
      </c>
      <c r="H384" t="e">
        <f t="shared" si="13"/>
        <v>#N/A</v>
      </c>
    </row>
    <row r="385" spans="7:8" x14ac:dyDescent="0.25">
      <c r="G385">
        <f t="shared" si="12"/>
        <v>0</v>
      </c>
      <c r="H385" t="e">
        <f t="shared" si="13"/>
        <v>#N/A</v>
      </c>
    </row>
    <row r="386" spans="7:8" x14ac:dyDescent="0.25">
      <c r="G386">
        <f t="shared" si="12"/>
        <v>0</v>
      </c>
      <c r="H386" t="e">
        <f t="shared" si="13"/>
        <v>#N/A</v>
      </c>
    </row>
    <row r="387" spans="7:8" x14ac:dyDescent="0.25">
      <c r="G387">
        <f t="shared" ref="G387:G450" si="14">IF(OR($F387="SETTLING",$F387="READY"),NA(),$C387)</f>
        <v>0</v>
      </c>
      <c r="H387" t="e">
        <f t="shared" ref="H387:H450" si="15">IF($F387="SETTLING", $C387, NA())</f>
        <v>#N/A</v>
      </c>
    </row>
    <row r="388" spans="7:8" x14ac:dyDescent="0.25">
      <c r="G388">
        <f t="shared" si="14"/>
        <v>0</v>
      </c>
      <c r="H388" t="e">
        <f t="shared" si="15"/>
        <v>#N/A</v>
      </c>
    </row>
    <row r="389" spans="7:8" x14ac:dyDescent="0.25">
      <c r="G389">
        <f t="shared" si="14"/>
        <v>0</v>
      </c>
      <c r="H389" t="e">
        <f t="shared" si="15"/>
        <v>#N/A</v>
      </c>
    </row>
    <row r="390" spans="7:8" x14ac:dyDescent="0.25">
      <c r="G390">
        <f t="shared" si="14"/>
        <v>0</v>
      </c>
      <c r="H390" t="e">
        <f t="shared" si="15"/>
        <v>#N/A</v>
      </c>
    </row>
    <row r="391" spans="7:8" x14ac:dyDescent="0.25">
      <c r="G391">
        <f t="shared" si="14"/>
        <v>0</v>
      </c>
      <c r="H391" t="e">
        <f t="shared" si="15"/>
        <v>#N/A</v>
      </c>
    </row>
    <row r="392" spans="7:8" x14ac:dyDescent="0.25">
      <c r="G392">
        <f t="shared" si="14"/>
        <v>0</v>
      </c>
      <c r="H392" t="e">
        <f t="shared" si="15"/>
        <v>#N/A</v>
      </c>
    </row>
    <row r="393" spans="7:8" x14ac:dyDescent="0.25">
      <c r="G393">
        <f t="shared" si="14"/>
        <v>0</v>
      </c>
      <c r="H393" t="e">
        <f t="shared" si="15"/>
        <v>#N/A</v>
      </c>
    </row>
    <row r="394" spans="7:8" x14ac:dyDescent="0.25">
      <c r="G394">
        <f t="shared" si="14"/>
        <v>0</v>
      </c>
      <c r="H394" t="e">
        <f t="shared" si="15"/>
        <v>#N/A</v>
      </c>
    </row>
    <row r="395" spans="7:8" x14ac:dyDescent="0.25">
      <c r="G395">
        <f t="shared" si="14"/>
        <v>0</v>
      </c>
      <c r="H395" t="e">
        <f t="shared" si="15"/>
        <v>#N/A</v>
      </c>
    </row>
    <row r="396" spans="7:8" x14ac:dyDescent="0.25">
      <c r="G396">
        <f t="shared" si="14"/>
        <v>0</v>
      </c>
      <c r="H396" t="e">
        <f t="shared" si="15"/>
        <v>#N/A</v>
      </c>
    </row>
    <row r="397" spans="7:8" x14ac:dyDescent="0.25">
      <c r="G397">
        <f t="shared" si="14"/>
        <v>0</v>
      </c>
      <c r="H397" t="e">
        <f t="shared" si="15"/>
        <v>#N/A</v>
      </c>
    </row>
    <row r="398" spans="7:8" x14ac:dyDescent="0.25">
      <c r="G398">
        <f t="shared" si="14"/>
        <v>0</v>
      </c>
      <c r="H398" t="e">
        <f t="shared" si="15"/>
        <v>#N/A</v>
      </c>
    </row>
    <row r="399" spans="7:8" x14ac:dyDescent="0.25">
      <c r="G399">
        <f t="shared" si="14"/>
        <v>0</v>
      </c>
      <c r="H399" t="e">
        <f t="shared" si="15"/>
        <v>#N/A</v>
      </c>
    </row>
    <row r="400" spans="7:8" x14ac:dyDescent="0.25">
      <c r="G400">
        <f t="shared" si="14"/>
        <v>0</v>
      </c>
      <c r="H400" t="e">
        <f t="shared" si="15"/>
        <v>#N/A</v>
      </c>
    </row>
    <row r="401" spans="7:8" x14ac:dyDescent="0.25">
      <c r="G401">
        <f t="shared" si="14"/>
        <v>0</v>
      </c>
      <c r="H401" t="e">
        <f t="shared" si="15"/>
        <v>#N/A</v>
      </c>
    </row>
    <row r="402" spans="7:8" x14ac:dyDescent="0.25">
      <c r="G402">
        <f t="shared" si="14"/>
        <v>0</v>
      </c>
      <c r="H402" t="e">
        <f t="shared" si="15"/>
        <v>#N/A</v>
      </c>
    </row>
    <row r="403" spans="7:8" x14ac:dyDescent="0.25">
      <c r="G403">
        <f t="shared" si="14"/>
        <v>0</v>
      </c>
      <c r="H403" t="e">
        <f t="shared" si="15"/>
        <v>#N/A</v>
      </c>
    </row>
    <row r="404" spans="7:8" x14ac:dyDescent="0.25">
      <c r="G404">
        <f t="shared" si="14"/>
        <v>0</v>
      </c>
      <c r="H404" t="e">
        <f t="shared" si="15"/>
        <v>#N/A</v>
      </c>
    </row>
    <row r="405" spans="7:8" x14ac:dyDescent="0.25">
      <c r="G405">
        <f t="shared" si="14"/>
        <v>0</v>
      </c>
      <c r="H405" t="e">
        <f t="shared" si="15"/>
        <v>#N/A</v>
      </c>
    </row>
    <row r="406" spans="7:8" x14ac:dyDescent="0.25">
      <c r="G406">
        <f t="shared" si="14"/>
        <v>0</v>
      </c>
      <c r="H406" t="e">
        <f t="shared" si="15"/>
        <v>#N/A</v>
      </c>
    </row>
    <row r="407" spans="7:8" x14ac:dyDescent="0.25">
      <c r="G407">
        <f t="shared" si="14"/>
        <v>0</v>
      </c>
      <c r="H407" t="e">
        <f t="shared" si="15"/>
        <v>#N/A</v>
      </c>
    </row>
    <row r="408" spans="7:8" x14ac:dyDescent="0.25">
      <c r="G408">
        <f t="shared" si="14"/>
        <v>0</v>
      </c>
      <c r="H408" t="e">
        <f t="shared" si="15"/>
        <v>#N/A</v>
      </c>
    </row>
    <row r="409" spans="7:8" x14ac:dyDescent="0.25">
      <c r="G409">
        <f t="shared" si="14"/>
        <v>0</v>
      </c>
      <c r="H409" t="e">
        <f t="shared" si="15"/>
        <v>#N/A</v>
      </c>
    </row>
    <row r="410" spans="7:8" x14ac:dyDescent="0.25">
      <c r="G410">
        <f t="shared" si="14"/>
        <v>0</v>
      </c>
      <c r="H410" t="e">
        <f t="shared" si="15"/>
        <v>#N/A</v>
      </c>
    </row>
    <row r="411" spans="7:8" x14ac:dyDescent="0.25">
      <c r="G411">
        <f t="shared" si="14"/>
        <v>0</v>
      </c>
      <c r="H411" t="e">
        <f t="shared" si="15"/>
        <v>#N/A</v>
      </c>
    </row>
    <row r="412" spans="7:8" x14ac:dyDescent="0.25">
      <c r="G412">
        <f t="shared" si="14"/>
        <v>0</v>
      </c>
      <c r="H412" t="e">
        <f t="shared" si="15"/>
        <v>#N/A</v>
      </c>
    </row>
    <row r="413" spans="7:8" x14ac:dyDescent="0.25">
      <c r="G413">
        <f t="shared" si="14"/>
        <v>0</v>
      </c>
      <c r="H413" t="e">
        <f t="shared" si="15"/>
        <v>#N/A</v>
      </c>
    </row>
    <row r="414" spans="7:8" x14ac:dyDescent="0.25">
      <c r="G414">
        <f t="shared" si="14"/>
        <v>0</v>
      </c>
      <c r="H414" t="e">
        <f t="shared" si="15"/>
        <v>#N/A</v>
      </c>
    </row>
    <row r="415" spans="7:8" x14ac:dyDescent="0.25">
      <c r="G415">
        <f t="shared" si="14"/>
        <v>0</v>
      </c>
      <c r="H415" t="e">
        <f t="shared" si="15"/>
        <v>#N/A</v>
      </c>
    </row>
    <row r="416" spans="7:8" x14ac:dyDescent="0.25">
      <c r="G416">
        <f t="shared" si="14"/>
        <v>0</v>
      </c>
      <c r="H416" t="e">
        <f t="shared" si="15"/>
        <v>#N/A</v>
      </c>
    </row>
    <row r="417" spans="7:8" x14ac:dyDescent="0.25">
      <c r="G417">
        <f t="shared" si="14"/>
        <v>0</v>
      </c>
      <c r="H417" t="e">
        <f t="shared" si="15"/>
        <v>#N/A</v>
      </c>
    </row>
    <row r="418" spans="7:8" x14ac:dyDescent="0.25">
      <c r="G418">
        <f t="shared" si="14"/>
        <v>0</v>
      </c>
      <c r="H418" t="e">
        <f t="shared" si="15"/>
        <v>#N/A</v>
      </c>
    </row>
    <row r="419" spans="7:8" x14ac:dyDescent="0.25">
      <c r="G419">
        <f t="shared" si="14"/>
        <v>0</v>
      </c>
      <c r="H419" t="e">
        <f t="shared" si="15"/>
        <v>#N/A</v>
      </c>
    </row>
    <row r="420" spans="7:8" x14ac:dyDescent="0.25">
      <c r="G420">
        <f t="shared" si="14"/>
        <v>0</v>
      </c>
      <c r="H420" t="e">
        <f t="shared" si="15"/>
        <v>#N/A</v>
      </c>
    </row>
    <row r="421" spans="7:8" x14ac:dyDescent="0.25">
      <c r="G421">
        <f t="shared" si="14"/>
        <v>0</v>
      </c>
      <c r="H421" t="e">
        <f t="shared" si="15"/>
        <v>#N/A</v>
      </c>
    </row>
    <row r="422" spans="7:8" x14ac:dyDescent="0.25">
      <c r="G422">
        <f t="shared" si="14"/>
        <v>0</v>
      </c>
      <c r="H422" t="e">
        <f t="shared" si="15"/>
        <v>#N/A</v>
      </c>
    </row>
    <row r="423" spans="7:8" x14ac:dyDescent="0.25">
      <c r="G423">
        <f t="shared" si="14"/>
        <v>0</v>
      </c>
      <c r="H423" t="e">
        <f t="shared" si="15"/>
        <v>#N/A</v>
      </c>
    </row>
    <row r="424" spans="7:8" x14ac:dyDescent="0.25">
      <c r="G424">
        <f t="shared" si="14"/>
        <v>0</v>
      </c>
      <c r="H424" t="e">
        <f t="shared" si="15"/>
        <v>#N/A</v>
      </c>
    </row>
    <row r="425" spans="7:8" x14ac:dyDescent="0.25">
      <c r="G425">
        <f t="shared" si="14"/>
        <v>0</v>
      </c>
      <c r="H425" t="e">
        <f t="shared" si="15"/>
        <v>#N/A</v>
      </c>
    </row>
    <row r="426" spans="7:8" x14ac:dyDescent="0.25">
      <c r="G426">
        <f t="shared" si="14"/>
        <v>0</v>
      </c>
      <c r="H426" t="e">
        <f t="shared" si="15"/>
        <v>#N/A</v>
      </c>
    </row>
    <row r="427" spans="7:8" x14ac:dyDescent="0.25">
      <c r="G427">
        <f t="shared" si="14"/>
        <v>0</v>
      </c>
      <c r="H427" t="e">
        <f t="shared" si="15"/>
        <v>#N/A</v>
      </c>
    </row>
    <row r="428" spans="7:8" x14ac:dyDescent="0.25">
      <c r="G428">
        <f t="shared" si="14"/>
        <v>0</v>
      </c>
      <c r="H428" t="e">
        <f t="shared" si="15"/>
        <v>#N/A</v>
      </c>
    </row>
    <row r="429" spans="7:8" x14ac:dyDescent="0.25">
      <c r="G429">
        <f t="shared" si="14"/>
        <v>0</v>
      </c>
      <c r="H429" t="e">
        <f t="shared" si="15"/>
        <v>#N/A</v>
      </c>
    </row>
    <row r="430" spans="7:8" x14ac:dyDescent="0.25">
      <c r="G430">
        <f t="shared" si="14"/>
        <v>0</v>
      </c>
      <c r="H430" t="e">
        <f t="shared" si="15"/>
        <v>#N/A</v>
      </c>
    </row>
    <row r="431" spans="7:8" x14ac:dyDescent="0.25">
      <c r="G431">
        <f t="shared" si="14"/>
        <v>0</v>
      </c>
      <c r="H431" t="e">
        <f t="shared" si="15"/>
        <v>#N/A</v>
      </c>
    </row>
    <row r="432" spans="7:8" x14ac:dyDescent="0.25">
      <c r="G432">
        <f t="shared" si="14"/>
        <v>0</v>
      </c>
      <c r="H432" t="e">
        <f t="shared" si="15"/>
        <v>#N/A</v>
      </c>
    </row>
    <row r="433" spans="7:8" x14ac:dyDescent="0.25">
      <c r="G433">
        <f t="shared" si="14"/>
        <v>0</v>
      </c>
      <c r="H433" t="e">
        <f t="shared" si="15"/>
        <v>#N/A</v>
      </c>
    </row>
    <row r="434" spans="7:8" x14ac:dyDescent="0.25">
      <c r="G434">
        <f t="shared" si="14"/>
        <v>0</v>
      </c>
      <c r="H434" t="e">
        <f t="shared" si="15"/>
        <v>#N/A</v>
      </c>
    </row>
    <row r="435" spans="7:8" x14ac:dyDescent="0.25">
      <c r="G435">
        <f t="shared" si="14"/>
        <v>0</v>
      </c>
      <c r="H435" t="e">
        <f t="shared" si="15"/>
        <v>#N/A</v>
      </c>
    </row>
    <row r="436" spans="7:8" x14ac:dyDescent="0.25">
      <c r="G436">
        <f t="shared" si="14"/>
        <v>0</v>
      </c>
      <c r="H436" t="e">
        <f t="shared" si="15"/>
        <v>#N/A</v>
      </c>
    </row>
    <row r="437" spans="7:8" x14ac:dyDescent="0.25">
      <c r="G437">
        <f t="shared" si="14"/>
        <v>0</v>
      </c>
      <c r="H437" t="e">
        <f t="shared" si="15"/>
        <v>#N/A</v>
      </c>
    </row>
    <row r="438" spans="7:8" x14ac:dyDescent="0.25">
      <c r="G438">
        <f t="shared" si="14"/>
        <v>0</v>
      </c>
      <c r="H438" t="e">
        <f t="shared" si="15"/>
        <v>#N/A</v>
      </c>
    </row>
    <row r="439" spans="7:8" x14ac:dyDescent="0.25">
      <c r="G439">
        <f t="shared" si="14"/>
        <v>0</v>
      </c>
      <c r="H439" t="e">
        <f t="shared" si="15"/>
        <v>#N/A</v>
      </c>
    </row>
    <row r="440" spans="7:8" x14ac:dyDescent="0.25">
      <c r="G440">
        <f t="shared" si="14"/>
        <v>0</v>
      </c>
      <c r="H440" t="e">
        <f t="shared" si="15"/>
        <v>#N/A</v>
      </c>
    </row>
    <row r="441" spans="7:8" x14ac:dyDescent="0.25">
      <c r="G441">
        <f t="shared" si="14"/>
        <v>0</v>
      </c>
      <c r="H441" t="e">
        <f t="shared" si="15"/>
        <v>#N/A</v>
      </c>
    </row>
    <row r="442" spans="7:8" x14ac:dyDescent="0.25">
      <c r="G442">
        <f t="shared" si="14"/>
        <v>0</v>
      </c>
      <c r="H442" t="e">
        <f t="shared" si="15"/>
        <v>#N/A</v>
      </c>
    </row>
    <row r="443" spans="7:8" x14ac:dyDescent="0.25">
      <c r="G443">
        <f t="shared" si="14"/>
        <v>0</v>
      </c>
      <c r="H443" t="e">
        <f t="shared" si="15"/>
        <v>#N/A</v>
      </c>
    </row>
    <row r="444" spans="7:8" x14ac:dyDescent="0.25">
      <c r="G444">
        <f t="shared" si="14"/>
        <v>0</v>
      </c>
      <c r="H444" t="e">
        <f t="shared" si="15"/>
        <v>#N/A</v>
      </c>
    </row>
    <row r="445" spans="7:8" x14ac:dyDescent="0.25">
      <c r="G445">
        <f t="shared" si="14"/>
        <v>0</v>
      </c>
      <c r="H445" t="e">
        <f t="shared" si="15"/>
        <v>#N/A</v>
      </c>
    </row>
    <row r="446" spans="7:8" x14ac:dyDescent="0.25">
      <c r="G446">
        <f t="shared" si="14"/>
        <v>0</v>
      </c>
      <c r="H446" t="e">
        <f t="shared" si="15"/>
        <v>#N/A</v>
      </c>
    </row>
    <row r="447" spans="7:8" x14ac:dyDescent="0.25">
      <c r="G447">
        <f t="shared" si="14"/>
        <v>0</v>
      </c>
      <c r="H447" t="e">
        <f t="shared" si="15"/>
        <v>#N/A</v>
      </c>
    </row>
    <row r="448" spans="7:8" x14ac:dyDescent="0.25">
      <c r="G448">
        <f t="shared" si="14"/>
        <v>0</v>
      </c>
      <c r="H448" t="e">
        <f t="shared" si="15"/>
        <v>#N/A</v>
      </c>
    </row>
    <row r="449" spans="7:8" x14ac:dyDescent="0.25">
      <c r="G449">
        <f t="shared" si="14"/>
        <v>0</v>
      </c>
      <c r="H449" t="e">
        <f t="shared" si="15"/>
        <v>#N/A</v>
      </c>
    </row>
    <row r="450" spans="7:8" x14ac:dyDescent="0.25">
      <c r="G450">
        <f t="shared" si="14"/>
        <v>0</v>
      </c>
      <c r="H450" t="e">
        <f t="shared" si="15"/>
        <v>#N/A</v>
      </c>
    </row>
    <row r="451" spans="7:8" x14ac:dyDescent="0.25">
      <c r="G451">
        <f t="shared" ref="G451:G514" si="16">IF(OR($F451="SETTLING",$F451="READY"),NA(),$C451)</f>
        <v>0</v>
      </c>
      <c r="H451" t="e">
        <f t="shared" ref="H451:H514" si="17">IF($F451="SETTLING", $C451, NA())</f>
        <v>#N/A</v>
      </c>
    </row>
    <row r="452" spans="7:8" x14ac:dyDescent="0.25">
      <c r="G452">
        <f t="shared" si="16"/>
        <v>0</v>
      </c>
      <c r="H452" t="e">
        <f t="shared" si="17"/>
        <v>#N/A</v>
      </c>
    </row>
    <row r="453" spans="7:8" x14ac:dyDescent="0.25">
      <c r="G453">
        <f t="shared" si="16"/>
        <v>0</v>
      </c>
      <c r="H453" t="e">
        <f t="shared" si="17"/>
        <v>#N/A</v>
      </c>
    </row>
    <row r="454" spans="7:8" x14ac:dyDescent="0.25">
      <c r="G454">
        <f t="shared" si="16"/>
        <v>0</v>
      </c>
      <c r="H454" t="e">
        <f t="shared" si="17"/>
        <v>#N/A</v>
      </c>
    </row>
    <row r="455" spans="7:8" x14ac:dyDescent="0.25">
      <c r="G455">
        <f t="shared" si="16"/>
        <v>0</v>
      </c>
      <c r="H455" t="e">
        <f t="shared" si="17"/>
        <v>#N/A</v>
      </c>
    </row>
    <row r="456" spans="7:8" x14ac:dyDescent="0.25">
      <c r="G456">
        <f t="shared" si="16"/>
        <v>0</v>
      </c>
      <c r="H456" t="e">
        <f t="shared" si="17"/>
        <v>#N/A</v>
      </c>
    </row>
    <row r="457" spans="7:8" x14ac:dyDescent="0.25">
      <c r="G457">
        <f t="shared" si="16"/>
        <v>0</v>
      </c>
      <c r="H457" t="e">
        <f t="shared" si="17"/>
        <v>#N/A</v>
      </c>
    </row>
    <row r="458" spans="7:8" x14ac:dyDescent="0.25">
      <c r="G458">
        <f t="shared" si="16"/>
        <v>0</v>
      </c>
      <c r="H458" t="e">
        <f t="shared" si="17"/>
        <v>#N/A</v>
      </c>
    </row>
    <row r="459" spans="7:8" x14ac:dyDescent="0.25">
      <c r="G459">
        <f t="shared" si="16"/>
        <v>0</v>
      </c>
      <c r="H459" t="e">
        <f t="shared" si="17"/>
        <v>#N/A</v>
      </c>
    </row>
    <row r="460" spans="7:8" x14ac:dyDescent="0.25">
      <c r="G460">
        <f t="shared" si="16"/>
        <v>0</v>
      </c>
      <c r="H460" t="e">
        <f t="shared" si="17"/>
        <v>#N/A</v>
      </c>
    </row>
    <row r="461" spans="7:8" x14ac:dyDescent="0.25">
      <c r="G461">
        <f t="shared" si="16"/>
        <v>0</v>
      </c>
      <c r="H461" t="e">
        <f t="shared" si="17"/>
        <v>#N/A</v>
      </c>
    </row>
    <row r="462" spans="7:8" x14ac:dyDescent="0.25">
      <c r="G462">
        <f t="shared" si="16"/>
        <v>0</v>
      </c>
      <c r="H462" t="e">
        <f t="shared" si="17"/>
        <v>#N/A</v>
      </c>
    </row>
    <row r="463" spans="7:8" x14ac:dyDescent="0.25">
      <c r="G463">
        <f t="shared" si="16"/>
        <v>0</v>
      </c>
      <c r="H463" t="e">
        <f t="shared" si="17"/>
        <v>#N/A</v>
      </c>
    </row>
    <row r="464" spans="7:8" x14ac:dyDescent="0.25">
      <c r="G464">
        <f t="shared" si="16"/>
        <v>0</v>
      </c>
      <c r="H464" t="e">
        <f t="shared" si="17"/>
        <v>#N/A</v>
      </c>
    </row>
    <row r="465" spans="7:8" x14ac:dyDescent="0.25">
      <c r="G465">
        <f t="shared" si="16"/>
        <v>0</v>
      </c>
      <c r="H465" t="e">
        <f t="shared" si="17"/>
        <v>#N/A</v>
      </c>
    </row>
    <row r="466" spans="7:8" x14ac:dyDescent="0.25">
      <c r="G466">
        <f t="shared" si="16"/>
        <v>0</v>
      </c>
      <c r="H466" t="e">
        <f t="shared" si="17"/>
        <v>#N/A</v>
      </c>
    </row>
    <row r="467" spans="7:8" x14ac:dyDescent="0.25">
      <c r="G467">
        <f t="shared" si="16"/>
        <v>0</v>
      </c>
      <c r="H467" t="e">
        <f t="shared" si="17"/>
        <v>#N/A</v>
      </c>
    </row>
    <row r="468" spans="7:8" x14ac:dyDescent="0.25">
      <c r="G468">
        <f t="shared" si="16"/>
        <v>0</v>
      </c>
      <c r="H468" t="e">
        <f t="shared" si="17"/>
        <v>#N/A</v>
      </c>
    </row>
    <row r="469" spans="7:8" x14ac:dyDescent="0.25">
      <c r="G469">
        <f t="shared" si="16"/>
        <v>0</v>
      </c>
      <c r="H469" t="e">
        <f t="shared" si="17"/>
        <v>#N/A</v>
      </c>
    </row>
    <row r="470" spans="7:8" x14ac:dyDescent="0.25">
      <c r="G470">
        <f t="shared" si="16"/>
        <v>0</v>
      </c>
      <c r="H470" t="e">
        <f t="shared" si="17"/>
        <v>#N/A</v>
      </c>
    </row>
    <row r="471" spans="7:8" x14ac:dyDescent="0.25">
      <c r="G471">
        <f t="shared" si="16"/>
        <v>0</v>
      </c>
      <c r="H471" t="e">
        <f t="shared" si="17"/>
        <v>#N/A</v>
      </c>
    </row>
    <row r="472" spans="7:8" x14ac:dyDescent="0.25">
      <c r="G472">
        <f t="shared" si="16"/>
        <v>0</v>
      </c>
      <c r="H472" t="e">
        <f t="shared" si="17"/>
        <v>#N/A</v>
      </c>
    </row>
    <row r="473" spans="7:8" x14ac:dyDescent="0.25">
      <c r="G473">
        <f t="shared" si="16"/>
        <v>0</v>
      </c>
      <c r="H473" t="e">
        <f t="shared" si="17"/>
        <v>#N/A</v>
      </c>
    </row>
    <row r="474" spans="7:8" x14ac:dyDescent="0.25">
      <c r="G474">
        <f t="shared" si="16"/>
        <v>0</v>
      </c>
      <c r="H474" t="e">
        <f t="shared" si="17"/>
        <v>#N/A</v>
      </c>
    </row>
    <row r="475" spans="7:8" x14ac:dyDescent="0.25">
      <c r="G475">
        <f t="shared" si="16"/>
        <v>0</v>
      </c>
      <c r="H475" t="e">
        <f t="shared" si="17"/>
        <v>#N/A</v>
      </c>
    </row>
    <row r="476" spans="7:8" x14ac:dyDescent="0.25">
      <c r="G476">
        <f t="shared" si="16"/>
        <v>0</v>
      </c>
      <c r="H476" t="e">
        <f t="shared" si="17"/>
        <v>#N/A</v>
      </c>
    </row>
    <row r="477" spans="7:8" x14ac:dyDescent="0.25">
      <c r="G477">
        <f t="shared" si="16"/>
        <v>0</v>
      </c>
      <c r="H477" t="e">
        <f t="shared" si="17"/>
        <v>#N/A</v>
      </c>
    </row>
    <row r="478" spans="7:8" x14ac:dyDescent="0.25">
      <c r="G478">
        <f t="shared" si="16"/>
        <v>0</v>
      </c>
      <c r="H478" t="e">
        <f t="shared" si="17"/>
        <v>#N/A</v>
      </c>
    </row>
    <row r="479" spans="7:8" x14ac:dyDescent="0.25">
      <c r="G479">
        <f t="shared" si="16"/>
        <v>0</v>
      </c>
      <c r="H479" t="e">
        <f t="shared" si="17"/>
        <v>#N/A</v>
      </c>
    </row>
    <row r="480" spans="7:8" x14ac:dyDescent="0.25">
      <c r="G480">
        <f t="shared" si="16"/>
        <v>0</v>
      </c>
      <c r="H480" t="e">
        <f t="shared" si="17"/>
        <v>#N/A</v>
      </c>
    </row>
    <row r="481" spans="7:8" x14ac:dyDescent="0.25">
      <c r="G481">
        <f t="shared" si="16"/>
        <v>0</v>
      </c>
      <c r="H481" t="e">
        <f t="shared" si="17"/>
        <v>#N/A</v>
      </c>
    </row>
    <row r="482" spans="7:8" x14ac:dyDescent="0.25">
      <c r="G482">
        <f t="shared" si="16"/>
        <v>0</v>
      </c>
      <c r="H482" t="e">
        <f t="shared" si="17"/>
        <v>#N/A</v>
      </c>
    </row>
    <row r="483" spans="7:8" x14ac:dyDescent="0.25">
      <c r="G483">
        <f t="shared" si="16"/>
        <v>0</v>
      </c>
      <c r="H483" t="e">
        <f t="shared" si="17"/>
        <v>#N/A</v>
      </c>
    </row>
    <row r="484" spans="7:8" x14ac:dyDescent="0.25">
      <c r="G484">
        <f t="shared" si="16"/>
        <v>0</v>
      </c>
      <c r="H484" t="e">
        <f t="shared" si="17"/>
        <v>#N/A</v>
      </c>
    </row>
    <row r="485" spans="7:8" x14ac:dyDescent="0.25">
      <c r="G485">
        <f t="shared" si="16"/>
        <v>0</v>
      </c>
      <c r="H485" t="e">
        <f t="shared" si="17"/>
        <v>#N/A</v>
      </c>
    </row>
    <row r="486" spans="7:8" x14ac:dyDescent="0.25">
      <c r="G486">
        <f t="shared" si="16"/>
        <v>0</v>
      </c>
      <c r="H486" t="e">
        <f t="shared" si="17"/>
        <v>#N/A</v>
      </c>
    </row>
    <row r="487" spans="7:8" x14ac:dyDescent="0.25">
      <c r="G487">
        <f t="shared" si="16"/>
        <v>0</v>
      </c>
      <c r="H487" t="e">
        <f t="shared" si="17"/>
        <v>#N/A</v>
      </c>
    </row>
    <row r="488" spans="7:8" x14ac:dyDescent="0.25">
      <c r="G488">
        <f t="shared" si="16"/>
        <v>0</v>
      </c>
      <c r="H488" t="e">
        <f t="shared" si="17"/>
        <v>#N/A</v>
      </c>
    </row>
    <row r="489" spans="7:8" x14ac:dyDescent="0.25">
      <c r="G489">
        <f t="shared" si="16"/>
        <v>0</v>
      </c>
      <c r="H489" t="e">
        <f t="shared" si="17"/>
        <v>#N/A</v>
      </c>
    </row>
    <row r="490" spans="7:8" x14ac:dyDescent="0.25">
      <c r="G490">
        <f t="shared" si="16"/>
        <v>0</v>
      </c>
      <c r="H490" t="e">
        <f t="shared" si="17"/>
        <v>#N/A</v>
      </c>
    </row>
    <row r="491" spans="7:8" x14ac:dyDescent="0.25">
      <c r="G491">
        <f t="shared" si="16"/>
        <v>0</v>
      </c>
      <c r="H491" t="e">
        <f t="shared" si="17"/>
        <v>#N/A</v>
      </c>
    </row>
    <row r="492" spans="7:8" x14ac:dyDescent="0.25">
      <c r="G492">
        <f t="shared" si="16"/>
        <v>0</v>
      </c>
      <c r="H492" t="e">
        <f t="shared" si="17"/>
        <v>#N/A</v>
      </c>
    </row>
    <row r="493" spans="7:8" x14ac:dyDescent="0.25">
      <c r="G493">
        <f t="shared" si="16"/>
        <v>0</v>
      </c>
      <c r="H493" t="e">
        <f t="shared" si="17"/>
        <v>#N/A</v>
      </c>
    </row>
    <row r="494" spans="7:8" x14ac:dyDescent="0.25">
      <c r="G494">
        <f t="shared" si="16"/>
        <v>0</v>
      </c>
      <c r="H494" t="e">
        <f t="shared" si="17"/>
        <v>#N/A</v>
      </c>
    </row>
    <row r="495" spans="7:8" x14ac:dyDescent="0.25">
      <c r="G495">
        <f t="shared" si="16"/>
        <v>0</v>
      </c>
      <c r="H495" t="e">
        <f t="shared" si="17"/>
        <v>#N/A</v>
      </c>
    </row>
    <row r="496" spans="7:8" x14ac:dyDescent="0.25">
      <c r="G496">
        <f t="shared" si="16"/>
        <v>0</v>
      </c>
      <c r="H496" t="e">
        <f t="shared" si="17"/>
        <v>#N/A</v>
      </c>
    </row>
    <row r="497" spans="7:8" x14ac:dyDescent="0.25">
      <c r="G497">
        <f t="shared" si="16"/>
        <v>0</v>
      </c>
      <c r="H497" t="e">
        <f t="shared" si="17"/>
        <v>#N/A</v>
      </c>
    </row>
    <row r="498" spans="7:8" x14ac:dyDescent="0.25">
      <c r="G498">
        <f t="shared" si="16"/>
        <v>0</v>
      </c>
      <c r="H498" t="e">
        <f t="shared" si="17"/>
        <v>#N/A</v>
      </c>
    </row>
    <row r="499" spans="7:8" x14ac:dyDescent="0.25">
      <c r="G499">
        <f t="shared" si="16"/>
        <v>0</v>
      </c>
      <c r="H499" t="e">
        <f t="shared" si="17"/>
        <v>#N/A</v>
      </c>
    </row>
    <row r="500" spans="7:8" x14ac:dyDescent="0.25">
      <c r="G500">
        <f t="shared" si="16"/>
        <v>0</v>
      </c>
      <c r="H500" t="e">
        <f t="shared" si="17"/>
        <v>#N/A</v>
      </c>
    </row>
    <row r="501" spans="7:8" x14ac:dyDescent="0.25">
      <c r="G501">
        <f t="shared" si="16"/>
        <v>0</v>
      </c>
      <c r="H501" t="e">
        <f t="shared" si="17"/>
        <v>#N/A</v>
      </c>
    </row>
    <row r="502" spans="7:8" x14ac:dyDescent="0.25">
      <c r="G502">
        <f t="shared" si="16"/>
        <v>0</v>
      </c>
      <c r="H502" t="e">
        <f t="shared" si="17"/>
        <v>#N/A</v>
      </c>
    </row>
    <row r="503" spans="7:8" x14ac:dyDescent="0.25">
      <c r="G503">
        <f t="shared" si="16"/>
        <v>0</v>
      </c>
      <c r="H503" t="e">
        <f t="shared" si="17"/>
        <v>#N/A</v>
      </c>
    </row>
    <row r="504" spans="7:8" x14ac:dyDescent="0.25">
      <c r="G504">
        <f t="shared" si="16"/>
        <v>0</v>
      </c>
      <c r="H504" t="e">
        <f t="shared" si="17"/>
        <v>#N/A</v>
      </c>
    </row>
    <row r="505" spans="7:8" x14ac:dyDescent="0.25">
      <c r="G505">
        <f t="shared" si="16"/>
        <v>0</v>
      </c>
      <c r="H505" t="e">
        <f t="shared" si="17"/>
        <v>#N/A</v>
      </c>
    </row>
    <row r="506" spans="7:8" x14ac:dyDescent="0.25">
      <c r="G506">
        <f t="shared" si="16"/>
        <v>0</v>
      </c>
      <c r="H506" t="e">
        <f t="shared" si="17"/>
        <v>#N/A</v>
      </c>
    </row>
    <row r="507" spans="7:8" x14ac:dyDescent="0.25">
      <c r="G507">
        <f t="shared" si="16"/>
        <v>0</v>
      </c>
      <c r="H507" t="e">
        <f t="shared" si="17"/>
        <v>#N/A</v>
      </c>
    </row>
    <row r="508" spans="7:8" x14ac:dyDescent="0.25">
      <c r="G508">
        <f t="shared" si="16"/>
        <v>0</v>
      </c>
      <c r="H508" t="e">
        <f t="shared" si="17"/>
        <v>#N/A</v>
      </c>
    </row>
    <row r="509" spans="7:8" x14ac:dyDescent="0.25">
      <c r="G509">
        <f t="shared" si="16"/>
        <v>0</v>
      </c>
      <c r="H509" t="e">
        <f t="shared" si="17"/>
        <v>#N/A</v>
      </c>
    </row>
    <row r="510" spans="7:8" x14ac:dyDescent="0.25">
      <c r="G510">
        <f t="shared" si="16"/>
        <v>0</v>
      </c>
      <c r="H510" t="e">
        <f t="shared" si="17"/>
        <v>#N/A</v>
      </c>
    </row>
    <row r="511" spans="7:8" x14ac:dyDescent="0.25">
      <c r="G511">
        <f t="shared" si="16"/>
        <v>0</v>
      </c>
      <c r="H511" t="e">
        <f t="shared" si="17"/>
        <v>#N/A</v>
      </c>
    </row>
    <row r="512" spans="7:8" x14ac:dyDescent="0.25">
      <c r="G512">
        <f t="shared" si="16"/>
        <v>0</v>
      </c>
      <c r="H512" t="e">
        <f t="shared" si="17"/>
        <v>#N/A</v>
      </c>
    </row>
    <row r="513" spans="7:8" x14ac:dyDescent="0.25">
      <c r="G513">
        <f t="shared" si="16"/>
        <v>0</v>
      </c>
      <c r="H513" t="e">
        <f t="shared" si="17"/>
        <v>#N/A</v>
      </c>
    </row>
    <row r="514" spans="7:8" x14ac:dyDescent="0.25">
      <c r="G514">
        <f t="shared" si="16"/>
        <v>0</v>
      </c>
      <c r="H514" t="e">
        <f t="shared" si="17"/>
        <v>#N/A</v>
      </c>
    </row>
    <row r="515" spans="7:8" x14ac:dyDescent="0.25">
      <c r="G515">
        <f t="shared" ref="G515:G578" si="18">IF(OR($F515="SETTLING",$F515="READY"),NA(),$C515)</f>
        <v>0</v>
      </c>
      <c r="H515" t="e">
        <f t="shared" ref="H515:H578" si="19">IF($F515="SETTLING", $C515, NA())</f>
        <v>#N/A</v>
      </c>
    </row>
    <row r="516" spans="7:8" x14ac:dyDescent="0.25">
      <c r="G516">
        <f t="shared" si="18"/>
        <v>0</v>
      </c>
      <c r="H516" t="e">
        <f t="shared" si="19"/>
        <v>#N/A</v>
      </c>
    </row>
    <row r="517" spans="7:8" x14ac:dyDescent="0.25">
      <c r="G517">
        <f t="shared" si="18"/>
        <v>0</v>
      </c>
      <c r="H517" t="e">
        <f t="shared" si="19"/>
        <v>#N/A</v>
      </c>
    </row>
    <row r="518" spans="7:8" x14ac:dyDescent="0.25">
      <c r="G518">
        <f t="shared" si="18"/>
        <v>0</v>
      </c>
      <c r="H518" t="e">
        <f t="shared" si="19"/>
        <v>#N/A</v>
      </c>
    </row>
    <row r="519" spans="7:8" x14ac:dyDescent="0.25">
      <c r="G519">
        <f t="shared" si="18"/>
        <v>0</v>
      </c>
      <c r="H519" t="e">
        <f t="shared" si="19"/>
        <v>#N/A</v>
      </c>
    </row>
    <row r="520" spans="7:8" x14ac:dyDescent="0.25">
      <c r="G520">
        <f t="shared" si="18"/>
        <v>0</v>
      </c>
      <c r="H520" t="e">
        <f t="shared" si="19"/>
        <v>#N/A</v>
      </c>
    </row>
    <row r="521" spans="7:8" x14ac:dyDescent="0.25">
      <c r="G521">
        <f t="shared" si="18"/>
        <v>0</v>
      </c>
      <c r="H521" t="e">
        <f t="shared" si="19"/>
        <v>#N/A</v>
      </c>
    </row>
    <row r="522" spans="7:8" x14ac:dyDescent="0.25">
      <c r="G522">
        <f t="shared" si="18"/>
        <v>0</v>
      </c>
      <c r="H522" t="e">
        <f t="shared" si="19"/>
        <v>#N/A</v>
      </c>
    </row>
    <row r="523" spans="7:8" x14ac:dyDescent="0.25">
      <c r="G523">
        <f t="shared" si="18"/>
        <v>0</v>
      </c>
      <c r="H523" t="e">
        <f t="shared" si="19"/>
        <v>#N/A</v>
      </c>
    </row>
    <row r="524" spans="7:8" x14ac:dyDescent="0.25">
      <c r="G524">
        <f t="shared" si="18"/>
        <v>0</v>
      </c>
      <c r="H524" t="e">
        <f t="shared" si="19"/>
        <v>#N/A</v>
      </c>
    </row>
    <row r="525" spans="7:8" x14ac:dyDescent="0.25">
      <c r="G525">
        <f t="shared" si="18"/>
        <v>0</v>
      </c>
      <c r="H525" t="e">
        <f t="shared" si="19"/>
        <v>#N/A</v>
      </c>
    </row>
    <row r="526" spans="7:8" x14ac:dyDescent="0.25">
      <c r="G526">
        <f t="shared" si="18"/>
        <v>0</v>
      </c>
      <c r="H526" t="e">
        <f t="shared" si="19"/>
        <v>#N/A</v>
      </c>
    </row>
    <row r="527" spans="7:8" x14ac:dyDescent="0.25">
      <c r="G527">
        <f t="shared" si="18"/>
        <v>0</v>
      </c>
      <c r="H527" t="e">
        <f t="shared" si="19"/>
        <v>#N/A</v>
      </c>
    </row>
    <row r="528" spans="7:8" x14ac:dyDescent="0.25">
      <c r="G528">
        <f t="shared" si="18"/>
        <v>0</v>
      </c>
      <c r="H528" t="e">
        <f t="shared" si="19"/>
        <v>#N/A</v>
      </c>
    </row>
    <row r="529" spans="7:8" x14ac:dyDescent="0.25">
      <c r="G529">
        <f t="shared" si="18"/>
        <v>0</v>
      </c>
      <c r="H529" t="e">
        <f t="shared" si="19"/>
        <v>#N/A</v>
      </c>
    </row>
    <row r="530" spans="7:8" x14ac:dyDescent="0.25">
      <c r="G530">
        <f t="shared" si="18"/>
        <v>0</v>
      </c>
      <c r="H530" t="e">
        <f t="shared" si="19"/>
        <v>#N/A</v>
      </c>
    </row>
    <row r="531" spans="7:8" x14ac:dyDescent="0.25">
      <c r="G531">
        <f t="shared" si="18"/>
        <v>0</v>
      </c>
      <c r="H531" t="e">
        <f t="shared" si="19"/>
        <v>#N/A</v>
      </c>
    </row>
    <row r="532" spans="7:8" x14ac:dyDescent="0.25">
      <c r="G532">
        <f t="shared" si="18"/>
        <v>0</v>
      </c>
      <c r="H532" t="e">
        <f t="shared" si="19"/>
        <v>#N/A</v>
      </c>
    </row>
    <row r="533" spans="7:8" x14ac:dyDescent="0.25">
      <c r="G533">
        <f t="shared" si="18"/>
        <v>0</v>
      </c>
      <c r="H533" t="e">
        <f t="shared" si="19"/>
        <v>#N/A</v>
      </c>
    </row>
    <row r="534" spans="7:8" x14ac:dyDescent="0.25">
      <c r="G534">
        <f t="shared" si="18"/>
        <v>0</v>
      </c>
      <c r="H534" t="e">
        <f t="shared" si="19"/>
        <v>#N/A</v>
      </c>
    </row>
    <row r="535" spans="7:8" x14ac:dyDescent="0.25">
      <c r="G535">
        <f t="shared" si="18"/>
        <v>0</v>
      </c>
      <c r="H535" t="e">
        <f t="shared" si="19"/>
        <v>#N/A</v>
      </c>
    </row>
    <row r="536" spans="7:8" x14ac:dyDescent="0.25">
      <c r="G536">
        <f t="shared" si="18"/>
        <v>0</v>
      </c>
      <c r="H536" t="e">
        <f t="shared" si="19"/>
        <v>#N/A</v>
      </c>
    </row>
    <row r="537" spans="7:8" x14ac:dyDescent="0.25">
      <c r="G537">
        <f t="shared" si="18"/>
        <v>0</v>
      </c>
      <c r="H537" t="e">
        <f t="shared" si="19"/>
        <v>#N/A</v>
      </c>
    </row>
    <row r="538" spans="7:8" x14ac:dyDescent="0.25">
      <c r="G538">
        <f t="shared" si="18"/>
        <v>0</v>
      </c>
      <c r="H538" t="e">
        <f t="shared" si="19"/>
        <v>#N/A</v>
      </c>
    </row>
    <row r="539" spans="7:8" x14ac:dyDescent="0.25">
      <c r="G539">
        <f t="shared" si="18"/>
        <v>0</v>
      </c>
      <c r="H539" t="e">
        <f t="shared" si="19"/>
        <v>#N/A</v>
      </c>
    </row>
    <row r="540" spans="7:8" x14ac:dyDescent="0.25">
      <c r="G540">
        <f t="shared" si="18"/>
        <v>0</v>
      </c>
      <c r="H540" t="e">
        <f t="shared" si="19"/>
        <v>#N/A</v>
      </c>
    </row>
    <row r="541" spans="7:8" x14ac:dyDescent="0.25">
      <c r="G541">
        <f t="shared" si="18"/>
        <v>0</v>
      </c>
      <c r="H541" t="e">
        <f t="shared" si="19"/>
        <v>#N/A</v>
      </c>
    </row>
    <row r="542" spans="7:8" x14ac:dyDescent="0.25">
      <c r="G542">
        <f t="shared" si="18"/>
        <v>0</v>
      </c>
      <c r="H542" t="e">
        <f t="shared" si="19"/>
        <v>#N/A</v>
      </c>
    </row>
    <row r="543" spans="7:8" x14ac:dyDescent="0.25">
      <c r="G543">
        <f t="shared" si="18"/>
        <v>0</v>
      </c>
      <c r="H543" t="e">
        <f t="shared" si="19"/>
        <v>#N/A</v>
      </c>
    </row>
    <row r="544" spans="7:8" x14ac:dyDescent="0.25">
      <c r="G544">
        <f t="shared" si="18"/>
        <v>0</v>
      </c>
      <c r="H544" t="e">
        <f t="shared" si="19"/>
        <v>#N/A</v>
      </c>
    </row>
    <row r="545" spans="7:8" x14ac:dyDescent="0.25">
      <c r="G545">
        <f t="shared" si="18"/>
        <v>0</v>
      </c>
      <c r="H545" t="e">
        <f t="shared" si="19"/>
        <v>#N/A</v>
      </c>
    </row>
    <row r="546" spans="7:8" x14ac:dyDescent="0.25">
      <c r="G546">
        <f t="shared" si="18"/>
        <v>0</v>
      </c>
      <c r="H546" t="e">
        <f t="shared" si="19"/>
        <v>#N/A</v>
      </c>
    </row>
    <row r="547" spans="7:8" x14ac:dyDescent="0.25">
      <c r="G547">
        <f t="shared" si="18"/>
        <v>0</v>
      </c>
      <c r="H547" t="e">
        <f t="shared" si="19"/>
        <v>#N/A</v>
      </c>
    </row>
    <row r="548" spans="7:8" x14ac:dyDescent="0.25">
      <c r="G548">
        <f t="shared" si="18"/>
        <v>0</v>
      </c>
      <c r="H548" t="e">
        <f t="shared" si="19"/>
        <v>#N/A</v>
      </c>
    </row>
    <row r="549" spans="7:8" x14ac:dyDescent="0.25">
      <c r="G549">
        <f t="shared" si="18"/>
        <v>0</v>
      </c>
      <c r="H549" t="e">
        <f t="shared" si="19"/>
        <v>#N/A</v>
      </c>
    </row>
    <row r="550" spans="7:8" x14ac:dyDescent="0.25">
      <c r="G550">
        <f t="shared" si="18"/>
        <v>0</v>
      </c>
      <c r="H550" t="e">
        <f t="shared" si="19"/>
        <v>#N/A</v>
      </c>
    </row>
    <row r="551" spans="7:8" x14ac:dyDescent="0.25">
      <c r="G551">
        <f t="shared" si="18"/>
        <v>0</v>
      </c>
      <c r="H551" t="e">
        <f t="shared" si="19"/>
        <v>#N/A</v>
      </c>
    </row>
    <row r="552" spans="7:8" x14ac:dyDescent="0.25">
      <c r="G552">
        <f t="shared" si="18"/>
        <v>0</v>
      </c>
      <c r="H552" t="e">
        <f t="shared" si="19"/>
        <v>#N/A</v>
      </c>
    </row>
    <row r="553" spans="7:8" x14ac:dyDescent="0.25">
      <c r="G553">
        <f t="shared" si="18"/>
        <v>0</v>
      </c>
      <c r="H553" t="e">
        <f t="shared" si="19"/>
        <v>#N/A</v>
      </c>
    </row>
    <row r="554" spans="7:8" x14ac:dyDescent="0.25">
      <c r="G554">
        <f t="shared" si="18"/>
        <v>0</v>
      </c>
      <c r="H554" t="e">
        <f t="shared" si="19"/>
        <v>#N/A</v>
      </c>
    </row>
    <row r="555" spans="7:8" x14ac:dyDescent="0.25">
      <c r="G555">
        <f t="shared" si="18"/>
        <v>0</v>
      </c>
      <c r="H555" t="e">
        <f t="shared" si="19"/>
        <v>#N/A</v>
      </c>
    </row>
    <row r="556" spans="7:8" x14ac:dyDescent="0.25">
      <c r="G556">
        <f t="shared" si="18"/>
        <v>0</v>
      </c>
      <c r="H556" t="e">
        <f t="shared" si="19"/>
        <v>#N/A</v>
      </c>
    </row>
    <row r="557" spans="7:8" x14ac:dyDescent="0.25">
      <c r="G557">
        <f t="shared" si="18"/>
        <v>0</v>
      </c>
      <c r="H557" t="e">
        <f t="shared" si="19"/>
        <v>#N/A</v>
      </c>
    </row>
    <row r="558" spans="7:8" x14ac:dyDescent="0.25">
      <c r="G558">
        <f t="shared" si="18"/>
        <v>0</v>
      </c>
      <c r="H558" t="e">
        <f t="shared" si="19"/>
        <v>#N/A</v>
      </c>
    </row>
    <row r="559" spans="7:8" x14ac:dyDescent="0.25">
      <c r="G559">
        <f t="shared" si="18"/>
        <v>0</v>
      </c>
      <c r="H559" t="e">
        <f t="shared" si="19"/>
        <v>#N/A</v>
      </c>
    </row>
    <row r="560" spans="7:8" x14ac:dyDescent="0.25">
      <c r="G560">
        <f t="shared" si="18"/>
        <v>0</v>
      </c>
      <c r="H560" t="e">
        <f t="shared" si="19"/>
        <v>#N/A</v>
      </c>
    </row>
    <row r="561" spans="7:8" x14ac:dyDescent="0.25">
      <c r="G561">
        <f t="shared" si="18"/>
        <v>0</v>
      </c>
      <c r="H561" t="e">
        <f t="shared" si="19"/>
        <v>#N/A</v>
      </c>
    </row>
    <row r="562" spans="7:8" x14ac:dyDescent="0.25">
      <c r="G562">
        <f t="shared" si="18"/>
        <v>0</v>
      </c>
      <c r="H562" t="e">
        <f t="shared" si="19"/>
        <v>#N/A</v>
      </c>
    </row>
    <row r="563" spans="7:8" x14ac:dyDescent="0.25">
      <c r="G563">
        <f t="shared" si="18"/>
        <v>0</v>
      </c>
      <c r="H563" t="e">
        <f t="shared" si="19"/>
        <v>#N/A</v>
      </c>
    </row>
    <row r="564" spans="7:8" x14ac:dyDescent="0.25">
      <c r="G564">
        <f t="shared" si="18"/>
        <v>0</v>
      </c>
      <c r="H564" t="e">
        <f t="shared" si="19"/>
        <v>#N/A</v>
      </c>
    </row>
    <row r="565" spans="7:8" x14ac:dyDescent="0.25">
      <c r="G565">
        <f t="shared" si="18"/>
        <v>0</v>
      </c>
      <c r="H565" t="e">
        <f t="shared" si="19"/>
        <v>#N/A</v>
      </c>
    </row>
    <row r="566" spans="7:8" x14ac:dyDescent="0.25">
      <c r="G566">
        <f t="shared" si="18"/>
        <v>0</v>
      </c>
      <c r="H566" t="e">
        <f t="shared" si="19"/>
        <v>#N/A</v>
      </c>
    </row>
    <row r="567" spans="7:8" x14ac:dyDescent="0.25">
      <c r="G567">
        <f t="shared" si="18"/>
        <v>0</v>
      </c>
      <c r="H567" t="e">
        <f t="shared" si="19"/>
        <v>#N/A</v>
      </c>
    </row>
    <row r="568" spans="7:8" x14ac:dyDescent="0.25">
      <c r="G568">
        <f t="shared" si="18"/>
        <v>0</v>
      </c>
      <c r="H568" t="e">
        <f t="shared" si="19"/>
        <v>#N/A</v>
      </c>
    </row>
    <row r="569" spans="7:8" x14ac:dyDescent="0.25">
      <c r="G569">
        <f t="shared" si="18"/>
        <v>0</v>
      </c>
      <c r="H569" t="e">
        <f t="shared" si="19"/>
        <v>#N/A</v>
      </c>
    </row>
    <row r="570" spans="7:8" x14ac:dyDescent="0.25">
      <c r="G570">
        <f t="shared" si="18"/>
        <v>0</v>
      </c>
      <c r="H570" t="e">
        <f t="shared" si="19"/>
        <v>#N/A</v>
      </c>
    </row>
    <row r="571" spans="7:8" x14ac:dyDescent="0.25">
      <c r="G571">
        <f t="shared" si="18"/>
        <v>0</v>
      </c>
      <c r="H571" t="e">
        <f t="shared" si="19"/>
        <v>#N/A</v>
      </c>
    </row>
    <row r="572" spans="7:8" x14ac:dyDescent="0.25">
      <c r="G572">
        <f t="shared" si="18"/>
        <v>0</v>
      </c>
      <c r="H572" t="e">
        <f t="shared" si="19"/>
        <v>#N/A</v>
      </c>
    </row>
    <row r="573" spans="7:8" x14ac:dyDescent="0.25">
      <c r="G573">
        <f t="shared" si="18"/>
        <v>0</v>
      </c>
      <c r="H573" t="e">
        <f t="shared" si="19"/>
        <v>#N/A</v>
      </c>
    </row>
    <row r="574" spans="7:8" x14ac:dyDescent="0.25">
      <c r="G574">
        <f t="shared" si="18"/>
        <v>0</v>
      </c>
      <c r="H574" t="e">
        <f t="shared" si="19"/>
        <v>#N/A</v>
      </c>
    </row>
    <row r="575" spans="7:8" x14ac:dyDescent="0.25">
      <c r="G575">
        <f t="shared" si="18"/>
        <v>0</v>
      </c>
      <c r="H575" t="e">
        <f t="shared" si="19"/>
        <v>#N/A</v>
      </c>
    </row>
    <row r="576" spans="7:8" x14ac:dyDescent="0.25">
      <c r="G576">
        <f t="shared" si="18"/>
        <v>0</v>
      </c>
      <c r="H576" t="e">
        <f t="shared" si="19"/>
        <v>#N/A</v>
      </c>
    </row>
    <row r="577" spans="7:8" x14ac:dyDescent="0.25">
      <c r="G577">
        <f t="shared" si="18"/>
        <v>0</v>
      </c>
      <c r="H577" t="e">
        <f t="shared" si="19"/>
        <v>#N/A</v>
      </c>
    </row>
    <row r="578" spans="7:8" x14ac:dyDescent="0.25">
      <c r="G578">
        <f t="shared" si="18"/>
        <v>0</v>
      </c>
      <c r="H578" t="e">
        <f t="shared" si="19"/>
        <v>#N/A</v>
      </c>
    </row>
    <row r="579" spans="7:8" x14ac:dyDescent="0.25">
      <c r="G579">
        <f t="shared" ref="G579:G642" si="20">IF(OR($F579="SETTLING",$F579="READY"),NA(),$C579)</f>
        <v>0</v>
      </c>
      <c r="H579" t="e">
        <f t="shared" ref="H579:H642" si="21">IF($F579="SETTLING", $C579, NA())</f>
        <v>#N/A</v>
      </c>
    </row>
    <row r="580" spans="7:8" x14ac:dyDescent="0.25">
      <c r="G580">
        <f t="shared" si="20"/>
        <v>0</v>
      </c>
      <c r="H580" t="e">
        <f t="shared" si="21"/>
        <v>#N/A</v>
      </c>
    </row>
    <row r="581" spans="7:8" x14ac:dyDescent="0.25">
      <c r="G581">
        <f t="shared" si="20"/>
        <v>0</v>
      </c>
      <c r="H581" t="e">
        <f t="shared" si="21"/>
        <v>#N/A</v>
      </c>
    </row>
    <row r="582" spans="7:8" x14ac:dyDescent="0.25">
      <c r="G582">
        <f t="shared" si="20"/>
        <v>0</v>
      </c>
      <c r="H582" t="e">
        <f t="shared" si="21"/>
        <v>#N/A</v>
      </c>
    </row>
    <row r="583" spans="7:8" x14ac:dyDescent="0.25">
      <c r="G583">
        <f t="shared" si="20"/>
        <v>0</v>
      </c>
      <c r="H583" t="e">
        <f t="shared" si="21"/>
        <v>#N/A</v>
      </c>
    </row>
    <row r="584" spans="7:8" x14ac:dyDescent="0.25">
      <c r="G584">
        <f t="shared" si="20"/>
        <v>0</v>
      </c>
      <c r="H584" t="e">
        <f t="shared" si="21"/>
        <v>#N/A</v>
      </c>
    </row>
    <row r="585" spans="7:8" x14ac:dyDescent="0.25">
      <c r="G585">
        <f t="shared" si="20"/>
        <v>0</v>
      </c>
      <c r="H585" t="e">
        <f t="shared" si="21"/>
        <v>#N/A</v>
      </c>
    </row>
    <row r="586" spans="7:8" x14ac:dyDescent="0.25">
      <c r="G586">
        <f t="shared" si="20"/>
        <v>0</v>
      </c>
      <c r="H586" t="e">
        <f t="shared" si="21"/>
        <v>#N/A</v>
      </c>
    </row>
    <row r="587" spans="7:8" x14ac:dyDescent="0.25">
      <c r="G587">
        <f t="shared" si="20"/>
        <v>0</v>
      </c>
      <c r="H587" t="e">
        <f t="shared" si="21"/>
        <v>#N/A</v>
      </c>
    </row>
    <row r="588" spans="7:8" x14ac:dyDescent="0.25">
      <c r="G588">
        <f t="shared" si="20"/>
        <v>0</v>
      </c>
      <c r="H588" t="e">
        <f t="shared" si="21"/>
        <v>#N/A</v>
      </c>
    </row>
    <row r="589" spans="7:8" x14ac:dyDescent="0.25">
      <c r="G589">
        <f t="shared" si="20"/>
        <v>0</v>
      </c>
      <c r="H589" t="e">
        <f t="shared" si="21"/>
        <v>#N/A</v>
      </c>
    </row>
    <row r="590" spans="7:8" x14ac:dyDescent="0.25">
      <c r="G590">
        <f t="shared" si="20"/>
        <v>0</v>
      </c>
      <c r="H590" t="e">
        <f t="shared" si="21"/>
        <v>#N/A</v>
      </c>
    </row>
    <row r="591" spans="7:8" x14ac:dyDescent="0.25">
      <c r="G591">
        <f t="shared" si="20"/>
        <v>0</v>
      </c>
      <c r="H591" t="e">
        <f t="shared" si="21"/>
        <v>#N/A</v>
      </c>
    </row>
    <row r="592" spans="7:8" x14ac:dyDescent="0.25">
      <c r="G592">
        <f t="shared" si="20"/>
        <v>0</v>
      </c>
      <c r="H592" t="e">
        <f t="shared" si="21"/>
        <v>#N/A</v>
      </c>
    </row>
    <row r="593" spans="7:8" x14ac:dyDescent="0.25">
      <c r="G593">
        <f t="shared" si="20"/>
        <v>0</v>
      </c>
      <c r="H593" t="e">
        <f t="shared" si="21"/>
        <v>#N/A</v>
      </c>
    </row>
    <row r="594" spans="7:8" x14ac:dyDescent="0.25">
      <c r="G594">
        <f t="shared" si="20"/>
        <v>0</v>
      </c>
      <c r="H594" t="e">
        <f t="shared" si="21"/>
        <v>#N/A</v>
      </c>
    </row>
    <row r="595" spans="7:8" x14ac:dyDescent="0.25">
      <c r="G595">
        <f t="shared" si="20"/>
        <v>0</v>
      </c>
      <c r="H595" t="e">
        <f t="shared" si="21"/>
        <v>#N/A</v>
      </c>
    </row>
    <row r="596" spans="7:8" x14ac:dyDescent="0.25">
      <c r="G596">
        <f t="shared" si="20"/>
        <v>0</v>
      </c>
      <c r="H596" t="e">
        <f t="shared" si="21"/>
        <v>#N/A</v>
      </c>
    </row>
    <row r="597" spans="7:8" x14ac:dyDescent="0.25">
      <c r="G597">
        <f t="shared" si="20"/>
        <v>0</v>
      </c>
      <c r="H597" t="e">
        <f t="shared" si="21"/>
        <v>#N/A</v>
      </c>
    </row>
    <row r="598" spans="7:8" x14ac:dyDescent="0.25">
      <c r="G598">
        <f t="shared" si="20"/>
        <v>0</v>
      </c>
      <c r="H598" t="e">
        <f t="shared" si="21"/>
        <v>#N/A</v>
      </c>
    </row>
    <row r="599" spans="7:8" x14ac:dyDescent="0.25">
      <c r="G599">
        <f t="shared" si="20"/>
        <v>0</v>
      </c>
      <c r="H599" t="e">
        <f t="shared" si="21"/>
        <v>#N/A</v>
      </c>
    </row>
    <row r="600" spans="7:8" x14ac:dyDescent="0.25">
      <c r="G600">
        <f t="shared" si="20"/>
        <v>0</v>
      </c>
      <c r="H600" t="e">
        <f t="shared" si="21"/>
        <v>#N/A</v>
      </c>
    </row>
    <row r="601" spans="7:8" x14ac:dyDescent="0.25">
      <c r="G601">
        <f t="shared" si="20"/>
        <v>0</v>
      </c>
      <c r="H601" t="e">
        <f t="shared" si="21"/>
        <v>#N/A</v>
      </c>
    </row>
    <row r="602" spans="7:8" x14ac:dyDescent="0.25">
      <c r="G602">
        <f t="shared" si="20"/>
        <v>0</v>
      </c>
      <c r="H602" t="e">
        <f t="shared" si="21"/>
        <v>#N/A</v>
      </c>
    </row>
    <row r="603" spans="7:8" x14ac:dyDescent="0.25">
      <c r="G603">
        <f t="shared" si="20"/>
        <v>0</v>
      </c>
      <c r="H603" t="e">
        <f t="shared" si="21"/>
        <v>#N/A</v>
      </c>
    </row>
    <row r="604" spans="7:8" x14ac:dyDescent="0.25">
      <c r="G604">
        <f t="shared" si="20"/>
        <v>0</v>
      </c>
      <c r="H604" t="e">
        <f t="shared" si="21"/>
        <v>#N/A</v>
      </c>
    </row>
    <row r="605" spans="7:8" x14ac:dyDescent="0.25">
      <c r="G605">
        <f t="shared" si="20"/>
        <v>0</v>
      </c>
      <c r="H605" t="e">
        <f t="shared" si="21"/>
        <v>#N/A</v>
      </c>
    </row>
    <row r="606" spans="7:8" x14ac:dyDescent="0.25">
      <c r="G606">
        <f t="shared" si="20"/>
        <v>0</v>
      </c>
      <c r="H606" t="e">
        <f t="shared" si="21"/>
        <v>#N/A</v>
      </c>
    </row>
    <row r="607" spans="7:8" x14ac:dyDescent="0.25">
      <c r="G607">
        <f t="shared" si="20"/>
        <v>0</v>
      </c>
      <c r="H607" t="e">
        <f t="shared" si="21"/>
        <v>#N/A</v>
      </c>
    </row>
    <row r="608" spans="7:8" x14ac:dyDescent="0.25">
      <c r="G608">
        <f t="shared" si="20"/>
        <v>0</v>
      </c>
      <c r="H608" t="e">
        <f t="shared" si="21"/>
        <v>#N/A</v>
      </c>
    </row>
    <row r="609" spans="7:8" x14ac:dyDescent="0.25">
      <c r="G609">
        <f t="shared" si="20"/>
        <v>0</v>
      </c>
      <c r="H609" t="e">
        <f t="shared" si="21"/>
        <v>#N/A</v>
      </c>
    </row>
    <row r="610" spans="7:8" x14ac:dyDescent="0.25">
      <c r="G610">
        <f t="shared" si="20"/>
        <v>0</v>
      </c>
      <c r="H610" t="e">
        <f t="shared" si="21"/>
        <v>#N/A</v>
      </c>
    </row>
    <row r="611" spans="7:8" x14ac:dyDescent="0.25">
      <c r="G611">
        <f t="shared" si="20"/>
        <v>0</v>
      </c>
      <c r="H611" t="e">
        <f t="shared" si="21"/>
        <v>#N/A</v>
      </c>
    </row>
    <row r="612" spans="7:8" x14ac:dyDescent="0.25">
      <c r="G612">
        <f t="shared" si="20"/>
        <v>0</v>
      </c>
      <c r="H612" t="e">
        <f t="shared" si="21"/>
        <v>#N/A</v>
      </c>
    </row>
    <row r="613" spans="7:8" x14ac:dyDescent="0.25">
      <c r="G613">
        <f t="shared" si="20"/>
        <v>0</v>
      </c>
      <c r="H613" t="e">
        <f t="shared" si="21"/>
        <v>#N/A</v>
      </c>
    </row>
    <row r="614" spans="7:8" x14ac:dyDescent="0.25">
      <c r="G614">
        <f t="shared" si="20"/>
        <v>0</v>
      </c>
      <c r="H614" t="e">
        <f t="shared" si="21"/>
        <v>#N/A</v>
      </c>
    </row>
    <row r="615" spans="7:8" x14ac:dyDescent="0.25">
      <c r="G615">
        <f t="shared" si="20"/>
        <v>0</v>
      </c>
      <c r="H615" t="e">
        <f t="shared" si="21"/>
        <v>#N/A</v>
      </c>
    </row>
    <row r="616" spans="7:8" x14ac:dyDescent="0.25">
      <c r="G616">
        <f t="shared" si="20"/>
        <v>0</v>
      </c>
      <c r="H616" t="e">
        <f t="shared" si="21"/>
        <v>#N/A</v>
      </c>
    </row>
    <row r="617" spans="7:8" x14ac:dyDescent="0.25">
      <c r="G617">
        <f t="shared" si="20"/>
        <v>0</v>
      </c>
      <c r="H617" t="e">
        <f t="shared" si="21"/>
        <v>#N/A</v>
      </c>
    </row>
    <row r="618" spans="7:8" x14ac:dyDescent="0.25">
      <c r="G618">
        <f t="shared" si="20"/>
        <v>0</v>
      </c>
      <c r="H618" t="e">
        <f t="shared" si="21"/>
        <v>#N/A</v>
      </c>
    </row>
    <row r="619" spans="7:8" x14ac:dyDescent="0.25">
      <c r="G619">
        <f t="shared" si="20"/>
        <v>0</v>
      </c>
      <c r="H619" t="e">
        <f t="shared" si="21"/>
        <v>#N/A</v>
      </c>
    </row>
    <row r="620" spans="7:8" x14ac:dyDescent="0.25">
      <c r="G620">
        <f t="shared" si="20"/>
        <v>0</v>
      </c>
      <c r="H620" t="e">
        <f t="shared" si="21"/>
        <v>#N/A</v>
      </c>
    </row>
    <row r="621" spans="7:8" x14ac:dyDescent="0.25">
      <c r="G621">
        <f t="shared" si="20"/>
        <v>0</v>
      </c>
      <c r="H621" t="e">
        <f t="shared" si="21"/>
        <v>#N/A</v>
      </c>
    </row>
    <row r="622" spans="7:8" x14ac:dyDescent="0.25">
      <c r="G622">
        <f t="shared" si="20"/>
        <v>0</v>
      </c>
      <c r="H622" t="e">
        <f t="shared" si="21"/>
        <v>#N/A</v>
      </c>
    </row>
    <row r="623" spans="7:8" x14ac:dyDescent="0.25">
      <c r="G623">
        <f t="shared" si="20"/>
        <v>0</v>
      </c>
      <c r="H623" t="e">
        <f t="shared" si="21"/>
        <v>#N/A</v>
      </c>
    </row>
    <row r="624" spans="7:8" x14ac:dyDescent="0.25">
      <c r="G624">
        <f t="shared" si="20"/>
        <v>0</v>
      </c>
      <c r="H624" t="e">
        <f t="shared" si="21"/>
        <v>#N/A</v>
      </c>
    </row>
    <row r="625" spans="7:8" x14ac:dyDescent="0.25">
      <c r="G625">
        <f t="shared" si="20"/>
        <v>0</v>
      </c>
      <c r="H625" t="e">
        <f t="shared" si="21"/>
        <v>#N/A</v>
      </c>
    </row>
    <row r="626" spans="7:8" x14ac:dyDescent="0.25">
      <c r="G626">
        <f t="shared" si="20"/>
        <v>0</v>
      </c>
      <c r="H626" t="e">
        <f t="shared" si="21"/>
        <v>#N/A</v>
      </c>
    </row>
    <row r="627" spans="7:8" x14ac:dyDescent="0.25">
      <c r="G627">
        <f t="shared" si="20"/>
        <v>0</v>
      </c>
      <c r="H627" t="e">
        <f t="shared" si="21"/>
        <v>#N/A</v>
      </c>
    </row>
    <row r="628" spans="7:8" x14ac:dyDescent="0.25">
      <c r="G628">
        <f t="shared" si="20"/>
        <v>0</v>
      </c>
      <c r="H628" t="e">
        <f t="shared" si="21"/>
        <v>#N/A</v>
      </c>
    </row>
    <row r="629" spans="7:8" x14ac:dyDescent="0.25">
      <c r="G629">
        <f t="shared" si="20"/>
        <v>0</v>
      </c>
      <c r="H629" t="e">
        <f t="shared" si="21"/>
        <v>#N/A</v>
      </c>
    </row>
    <row r="630" spans="7:8" x14ac:dyDescent="0.25">
      <c r="G630">
        <f t="shared" si="20"/>
        <v>0</v>
      </c>
      <c r="H630" t="e">
        <f t="shared" si="21"/>
        <v>#N/A</v>
      </c>
    </row>
    <row r="631" spans="7:8" x14ac:dyDescent="0.25">
      <c r="G631">
        <f t="shared" si="20"/>
        <v>0</v>
      </c>
      <c r="H631" t="e">
        <f t="shared" si="21"/>
        <v>#N/A</v>
      </c>
    </row>
    <row r="632" spans="7:8" x14ac:dyDescent="0.25">
      <c r="G632">
        <f t="shared" si="20"/>
        <v>0</v>
      </c>
      <c r="H632" t="e">
        <f t="shared" si="21"/>
        <v>#N/A</v>
      </c>
    </row>
    <row r="633" spans="7:8" x14ac:dyDescent="0.25">
      <c r="G633">
        <f t="shared" si="20"/>
        <v>0</v>
      </c>
      <c r="H633" t="e">
        <f t="shared" si="21"/>
        <v>#N/A</v>
      </c>
    </row>
    <row r="634" spans="7:8" x14ac:dyDescent="0.25">
      <c r="G634">
        <f t="shared" si="20"/>
        <v>0</v>
      </c>
      <c r="H634" t="e">
        <f t="shared" si="21"/>
        <v>#N/A</v>
      </c>
    </row>
    <row r="635" spans="7:8" x14ac:dyDescent="0.25">
      <c r="G635">
        <f t="shared" si="20"/>
        <v>0</v>
      </c>
      <c r="H635" t="e">
        <f t="shared" si="21"/>
        <v>#N/A</v>
      </c>
    </row>
    <row r="636" spans="7:8" x14ac:dyDescent="0.25">
      <c r="G636">
        <f t="shared" si="20"/>
        <v>0</v>
      </c>
      <c r="H636" t="e">
        <f t="shared" si="21"/>
        <v>#N/A</v>
      </c>
    </row>
    <row r="637" spans="7:8" x14ac:dyDescent="0.25">
      <c r="G637">
        <f t="shared" si="20"/>
        <v>0</v>
      </c>
      <c r="H637" t="e">
        <f t="shared" si="21"/>
        <v>#N/A</v>
      </c>
    </row>
    <row r="638" spans="7:8" x14ac:dyDescent="0.25">
      <c r="G638">
        <f t="shared" si="20"/>
        <v>0</v>
      </c>
      <c r="H638" t="e">
        <f t="shared" si="21"/>
        <v>#N/A</v>
      </c>
    </row>
    <row r="639" spans="7:8" x14ac:dyDescent="0.25">
      <c r="G639">
        <f t="shared" si="20"/>
        <v>0</v>
      </c>
      <c r="H639" t="e">
        <f t="shared" si="21"/>
        <v>#N/A</v>
      </c>
    </row>
    <row r="640" spans="7:8" x14ac:dyDescent="0.25">
      <c r="G640">
        <f t="shared" si="20"/>
        <v>0</v>
      </c>
      <c r="H640" t="e">
        <f t="shared" si="21"/>
        <v>#N/A</v>
      </c>
    </row>
    <row r="641" spans="7:8" x14ac:dyDescent="0.25">
      <c r="G641">
        <f t="shared" si="20"/>
        <v>0</v>
      </c>
      <c r="H641" t="e">
        <f t="shared" si="21"/>
        <v>#N/A</v>
      </c>
    </row>
    <row r="642" spans="7:8" x14ac:dyDescent="0.25">
      <c r="G642">
        <f t="shared" si="20"/>
        <v>0</v>
      </c>
      <c r="H642" t="e">
        <f t="shared" si="21"/>
        <v>#N/A</v>
      </c>
    </row>
    <row r="643" spans="7:8" x14ac:dyDescent="0.25">
      <c r="G643">
        <f t="shared" ref="G643:G706" si="22">IF(OR($F643="SETTLING",$F643="READY"),NA(),$C643)</f>
        <v>0</v>
      </c>
      <c r="H643" t="e">
        <f t="shared" ref="H643:H706" si="23">IF($F643="SETTLING", $C643, NA())</f>
        <v>#N/A</v>
      </c>
    </row>
    <row r="644" spans="7:8" x14ac:dyDescent="0.25">
      <c r="G644">
        <f t="shared" si="22"/>
        <v>0</v>
      </c>
      <c r="H644" t="e">
        <f t="shared" si="23"/>
        <v>#N/A</v>
      </c>
    </row>
    <row r="645" spans="7:8" x14ac:dyDescent="0.25">
      <c r="G645">
        <f t="shared" si="22"/>
        <v>0</v>
      </c>
      <c r="H645" t="e">
        <f t="shared" si="23"/>
        <v>#N/A</v>
      </c>
    </row>
    <row r="646" spans="7:8" x14ac:dyDescent="0.25">
      <c r="G646">
        <f t="shared" si="22"/>
        <v>0</v>
      </c>
      <c r="H646" t="e">
        <f t="shared" si="23"/>
        <v>#N/A</v>
      </c>
    </row>
    <row r="647" spans="7:8" x14ac:dyDescent="0.25">
      <c r="G647">
        <f t="shared" si="22"/>
        <v>0</v>
      </c>
      <c r="H647" t="e">
        <f t="shared" si="23"/>
        <v>#N/A</v>
      </c>
    </row>
    <row r="648" spans="7:8" x14ac:dyDescent="0.25">
      <c r="G648">
        <f t="shared" si="22"/>
        <v>0</v>
      </c>
      <c r="H648" t="e">
        <f t="shared" si="23"/>
        <v>#N/A</v>
      </c>
    </row>
    <row r="649" spans="7:8" x14ac:dyDescent="0.25">
      <c r="G649">
        <f t="shared" si="22"/>
        <v>0</v>
      </c>
      <c r="H649" t="e">
        <f t="shared" si="23"/>
        <v>#N/A</v>
      </c>
    </row>
    <row r="650" spans="7:8" x14ac:dyDescent="0.25">
      <c r="G650">
        <f t="shared" si="22"/>
        <v>0</v>
      </c>
      <c r="H650" t="e">
        <f t="shared" si="23"/>
        <v>#N/A</v>
      </c>
    </row>
    <row r="651" spans="7:8" x14ac:dyDescent="0.25">
      <c r="G651">
        <f t="shared" si="22"/>
        <v>0</v>
      </c>
      <c r="H651" t="e">
        <f t="shared" si="23"/>
        <v>#N/A</v>
      </c>
    </row>
    <row r="652" spans="7:8" x14ac:dyDescent="0.25">
      <c r="G652">
        <f t="shared" si="22"/>
        <v>0</v>
      </c>
      <c r="H652" t="e">
        <f t="shared" si="23"/>
        <v>#N/A</v>
      </c>
    </row>
    <row r="653" spans="7:8" x14ac:dyDescent="0.25">
      <c r="G653">
        <f t="shared" si="22"/>
        <v>0</v>
      </c>
      <c r="H653" t="e">
        <f t="shared" si="23"/>
        <v>#N/A</v>
      </c>
    </row>
    <row r="654" spans="7:8" x14ac:dyDescent="0.25">
      <c r="G654">
        <f t="shared" si="22"/>
        <v>0</v>
      </c>
      <c r="H654" t="e">
        <f t="shared" si="23"/>
        <v>#N/A</v>
      </c>
    </row>
    <row r="655" spans="7:8" x14ac:dyDescent="0.25">
      <c r="G655">
        <f t="shared" si="22"/>
        <v>0</v>
      </c>
      <c r="H655" t="e">
        <f t="shared" si="23"/>
        <v>#N/A</v>
      </c>
    </row>
    <row r="656" spans="7:8" x14ac:dyDescent="0.25">
      <c r="G656">
        <f t="shared" si="22"/>
        <v>0</v>
      </c>
      <c r="H656" t="e">
        <f t="shared" si="23"/>
        <v>#N/A</v>
      </c>
    </row>
    <row r="657" spans="7:8" x14ac:dyDescent="0.25">
      <c r="G657">
        <f t="shared" si="22"/>
        <v>0</v>
      </c>
      <c r="H657" t="e">
        <f t="shared" si="23"/>
        <v>#N/A</v>
      </c>
    </row>
    <row r="658" spans="7:8" x14ac:dyDescent="0.25">
      <c r="G658">
        <f t="shared" si="22"/>
        <v>0</v>
      </c>
      <c r="H658" t="e">
        <f t="shared" si="23"/>
        <v>#N/A</v>
      </c>
    </row>
    <row r="659" spans="7:8" x14ac:dyDescent="0.25">
      <c r="G659">
        <f t="shared" si="22"/>
        <v>0</v>
      </c>
      <c r="H659" t="e">
        <f t="shared" si="23"/>
        <v>#N/A</v>
      </c>
    </row>
    <row r="660" spans="7:8" x14ac:dyDescent="0.25">
      <c r="G660">
        <f t="shared" si="22"/>
        <v>0</v>
      </c>
      <c r="H660" t="e">
        <f t="shared" si="23"/>
        <v>#N/A</v>
      </c>
    </row>
    <row r="661" spans="7:8" x14ac:dyDescent="0.25">
      <c r="G661">
        <f t="shared" si="22"/>
        <v>0</v>
      </c>
      <c r="H661" t="e">
        <f t="shared" si="23"/>
        <v>#N/A</v>
      </c>
    </row>
    <row r="662" spans="7:8" x14ac:dyDescent="0.25">
      <c r="G662">
        <f t="shared" si="22"/>
        <v>0</v>
      </c>
      <c r="H662" t="e">
        <f t="shared" si="23"/>
        <v>#N/A</v>
      </c>
    </row>
    <row r="663" spans="7:8" x14ac:dyDescent="0.25">
      <c r="G663">
        <f t="shared" si="22"/>
        <v>0</v>
      </c>
      <c r="H663" t="e">
        <f t="shared" si="23"/>
        <v>#N/A</v>
      </c>
    </row>
    <row r="664" spans="7:8" x14ac:dyDescent="0.25">
      <c r="G664">
        <f t="shared" si="22"/>
        <v>0</v>
      </c>
      <c r="H664" t="e">
        <f t="shared" si="23"/>
        <v>#N/A</v>
      </c>
    </row>
    <row r="665" spans="7:8" x14ac:dyDescent="0.25">
      <c r="G665">
        <f t="shared" si="22"/>
        <v>0</v>
      </c>
      <c r="H665" t="e">
        <f t="shared" si="23"/>
        <v>#N/A</v>
      </c>
    </row>
    <row r="666" spans="7:8" x14ac:dyDescent="0.25">
      <c r="G666">
        <f t="shared" si="22"/>
        <v>0</v>
      </c>
      <c r="H666" t="e">
        <f t="shared" si="23"/>
        <v>#N/A</v>
      </c>
    </row>
    <row r="667" spans="7:8" x14ac:dyDescent="0.25">
      <c r="G667">
        <f t="shared" si="22"/>
        <v>0</v>
      </c>
      <c r="H667" t="e">
        <f t="shared" si="23"/>
        <v>#N/A</v>
      </c>
    </row>
    <row r="668" spans="7:8" x14ac:dyDescent="0.25">
      <c r="G668">
        <f t="shared" si="22"/>
        <v>0</v>
      </c>
      <c r="H668" t="e">
        <f t="shared" si="23"/>
        <v>#N/A</v>
      </c>
    </row>
    <row r="669" spans="7:8" x14ac:dyDescent="0.25">
      <c r="G669">
        <f t="shared" si="22"/>
        <v>0</v>
      </c>
      <c r="H669" t="e">
        <f t="shared" si="23"/>
        <v>#N/A</v>
      </c>
    </row>
    <row r="670" spans="7:8" x14ac:dyDescent="0.25">
      <c r="G670">
        <f t="shared" si="22"/>
        <v>0</v>
      </c>
      <c r="H670" t="e">
        <f t="shared" si="23"/>
        <v>#N/A</v>
      </c>
    </row>
    <row r="671" spans="7:8" x14ac:dyDescent="0.25">
      <c r="G671">
        <f t="shared" si="22"/>
        <v>0</v>
      </c>
      <c r="H671" t="e">
        <f t="shared" si="23"/>
        <v>#N/A</v>
      </c>
    </row>
    <row r="672" spans="7:8" x14ac:dyDescent="0.25">
      <c r="G672">
        <f t="shared" si="22"/>
        <v>0</v>
      </c>
      <c r="H672" t="e">
        <f t="shared" si="23"/>
        <v>#N/A</v>
      </c>
    </row>
    <row r="673" spans="7:8" x14ac:dyDescent="0.25">
      <c r="G673">
        <f t="shared" si="22"/>
        <v>0</v>
      </c>
      <c r="H673" t="e">
        <f t="shared" si="23"/>
        <v>#N/A</v>
      </c>
    </row>
    <row r="674" spans="7:8" x14ac:dyDescent="0.25">
      <c r="G674">
        <f t="shared" si="22"/>
        <v>0</v>
      </c>
      <c r="H674" t="e">
        <f t="shared" si="23"/>
        <v>#N/A</v>
      </c>
    </row>
    <row r="675" spans="7:8" x14ac:dyDescent="0.25">
      <c r="G675">
        <f t="shared" si="22"/>
        <v>0</v>
      </c>
      <c r="H675" t="e">
        <f t="shared" si="23"/>
        <v>#N/A</v>
      </c>
    </row>
    <row r="676" spans="7:8" x14ac:dyDescent="0.25">
      <c r="G676">
        <f t="shared" si="22"/>
        <v>0</v>
      </c>
      <c r="H676" t="e">
        <f t="shared" si="23"/>
        <v>#N/A</v>
      </c>
    </row>
    <row r="677" spans="7:8" x14ac:dyDescent="0.25">
      <c r="G677">
        <f t="shared" si="22"/>
        <v>0</v>
      </c>
      <c r="H677" t="e">
        <f t="shared" si="23"/>
        <v>#N/A</v>
      </c>
    </row>
    <row r="678" spans="7:8" x14ac:dyDescent="0.25">
      <c r="G678">
        <f t="shared" si="22"/>
        <v>0</v>
      </c>
      <c r="H678" t="e">
        <f t="shared" si="23"/>
        <v>#N/A</v>
      </c>
    </row>
    <row r="679" spans="7:8" x14ac:dyDescent="0.25">
      <c r="G679">
        <f t="shared" si="22"/>
        <v>0</v>
      </c>
      <c r="H679" t="e">
        <f t="shared" si="23"/>
        <v>#N/A</v>
      </c>
    </row>
    <row r="680" spans="7:8" x14ac:dyDescent="0.25">
      <c r="G680">
        <f t="shared" si="22"/>
        <v>0</v>
      </c>
      <c r="H680" t="e">
        <f t="shared" si="23"/>
        <v>#N/A</v>
      </c>
    </row>
    <row r="681" spans="7:8" x14ac:dyDescent="0.25">
      <c r="G681">
        <f t="shared" si="22"/>
        <v>0</v>
      </c>
      <c r="H681" t="e">
        <f t="shared" si="23"/>
        <v>#N/A</v>
      </c>
    </row>
    <row r="682" spans="7:8" x14ac:dyDescent="0.25">
      <c r="G682">
        <f t="shared" si="22"/>
        <v>0</v>
      </c>
      <c r="H682" t="e">
        <f t="shared" si="23"/>
        <v>#N/A</v>
      </c>
    </row>
    <row r="683" spans="7:8" x14ac:dyDescent="0.25">
      <c r="G683">
        <f t="shared" si="22"/>
        <v>0</v>
      </c>
      <c r="H683" t="e">
        <f t="shared" si="23"/>
        <v>#N/A</v>
      </c>
    </row>
    <row r="684" spans="7:8" x14ac:dyDescent="0.25">
      <c r="G684">
        <f t="shared" si="22"/>
        <v>0</v>
      </c>
      <c r="H684" t="e">
        <f t="shared" si="23"/>
        <v>#N/A</v>
      </c>
    </row>
    <row r="685" spans="7:8" x14ac:dyDescent="0.25">
      <c r="G685">
        <f t="shared" si="22"/>
        <v>0</v>
      </c>
      <c r="H685" t="e">
        <f t="shared" si="23"/>
        <v>#N/A</v>
      </c>
    </row>
    <row r="686" spans="7:8" x14ac:dyDescent="0.25">
      <c r="G686">
        <f t="shared" si="22"/>
        <v>0</v>
      </c>
      <c r="H686" t="e">
        <f t="shared" si="23"/>
        <v>#N/A</v>
      </c>
    </row>
    <row r="687" spans="7:8" x14ac:dyDescent="0.25">
      <c r="G687">
        <f t="shared" si="22"/>
        <v>0</v>
      </c>
      <c r="H687" t="e">
        <f t="shared" si="23"/>
        <v>#N/A</v>
      </c>
    </row>
    <row r="688" spans="7:8" x14ac:dyDescent="0.25">
      <c r="G688">
        <f t="shared" si="22"/>
        <v>0</v>
      </c>
      <c r="H688" t="e">
        <f t="shared" si="23"/>
        <v>#N/A</v>
      </c>
    </row>
    <row r="689" spans="7:8" x14ac:dyDescent="0.25">
      <c r="G689">
        <f t="shared" si="22"/>
        <v>0</v>
      </c>
      <c r="H689" t="e">
        <f t="shared" si="23"/>
        <v>#N/A</v>
      </c>
    </row>
    <row r="690" spans="7:8" x14ac:dyDescent="0.25">
      <c r="G690">
        <f t="shared" si="22"/>
        <v>0</v>
      </c>
      <c r="H690" t="e">
        <f t="shared" si="23"/>
        <v>#N/A</v>
      </c>
    </row>
    <row r="691" spans="7:8" x14ac:dyDescent="0.25">
      <c r="G691">
        <f t="shared" si="22"/>
        <v>0</v>
      </c>
      <c r="H691" t="e">
        <f t="shared" si="23"/>
        <v>#N/A</v>
      </c>
    </row>
    <row r="692" spans="7:8" x14ac:dyDescent="0.25">
      <c r="G692">
        <f t="shared" si="22"/>
        <v>0</v>
      </c>
      <c r="H692" t="e">
        <f t="shared" si="23"/>
        <v>#N/A</v>
      </c>
    </row>
    <row r="693" spans="7:8" x14ac:dyDescent="0.25">
      <c r="G693">
        <f t="shared" si="22"/>
        <v>0</v>
      </c>
      <c r="H693" t="e">
        <f t="shared" si="23"/>
        <v>#N/A</v>
      </c>
    </row>
    <row r="694" spans="7:8" x14ac:dyDescent="0.25">
      <c r="G694">
        <f t="shared" si="22"/>
        <v>0</v>
      </c>
      <c r="H694" t="e">
        <f t="shared" si="23"/>
        <v>#N/A</v>
      </c>
    </row>
    <row r="695" spans="7:8" x14ac:dyDescent="0.25">
      <c r="G695">
        <f t="shared" si="22"/>
        <v>0</v>
      </c>
      <c r="H695" t="e">
        <f t="shared" si="23"/>
        <v>#N/A</v>
      </c>
    </row>
    <row r="696" spans="7:8" x14ac:dyDescent="0.25">
      <c r="G696">
        <f t="shared" si="22"/>
        <v>0</v>
      </c>
      <c r="H696" t="e">
        <f t="shared" si="23"/>
        <v>#N/A</v>
      </c>
    </row>
    <row r="697" spans="7:8" x14ac:dyDescent="0.25">
      <c r="G697">
        <f t="shared" si="22"/>
        <v>0</v>
      </c>
      <c r="H697" t="e">
        <f t="shared" si="23"/>
        <v>#N/A</v>
      </c>
    </row>
    <row r="698" spans="7:8" x14ac:dyDescent="0.25">
      <c r="G698">
        <f t="shared" si="22"/>
        <v>0</v>
      </c>
      <c r="H698" t="e">
        <f t="shared" si="23"/>
        <v>#N/A</v>
      </c>
    </row>
    <row r="699" spans="7:8" x14ac:dyDescent="0.25">
      <c r="G699">
        <f t="shared" si="22"/>
        <v>0</v>
      </c>
      <c r="H699" t="e">
        <f t="shared" si="23"/>
        <v>#N/A</v>
      </c>
    </row>
    <row r="700" spans="7:8" x14ac:dyDescent="0.25">
      <c r="G700">
        <f t="shared" si="22"/>
        <v>0</v>
      </c>
      <c r="H700" t="e">
        <f t="shared" si="23"/>
        <v>#N/A</v>
      </c>
    </row>
    <row r="701" spans="7:8" x14ac:dyDescent="0.25">
      <c r="G701">
        <f t="shared" si="22"/>
        <v>0</v>
      </c>
      <c r="H701" t="e">
        <f t="shared" si="23"/>
        <v>#N/A</v>
      </c>
    </row>
    <row r="702" spans="7:8" x14ac:dyDescent="0.25">
      <c r="G702">
        <f t="shared" si="22"/>
        <v>0</v>
      </c>
      <c r="H702" t="e">
        <f t="shared" si="23"/>
        <v>#N/A</v>
      </c>
    </row>
    <row r="703" spans="7:8" x14ac:dyDescent="0.25">
      <c r="G703">
        <f t="shared" si="22"/>
        <v>0</v>
      </c>
      <c r="H703" t="e">
        <f t="shared" si="23"/>
        <v>#N/A</v>
      </c>
    </row>
    <row r="704" spans="7:8" x14ac:dyDescent="0.25">
      <c r="G704">
        <f t="shared" si="22"/>
        <v>0</v>
      </c>
      <c r="H704" t="e">
        <f t="shared" si="23"/>
        <v>#N/A</v>
      </c>
    </row>
    <row r="705" spans="7:8" x14ac:dyDescent="0.25">
      <c r="G705">
        <f t="shared" si="22"/>
        <v>0</v>
      </c>
      <c r="H705" t="e">
        <f t="shared" si="23"/>
        <v>#N/A</v>
      </c>
    </row>
    <row r="706" spans="7:8" x14ac:dyDescent="0.25">
      <c r="G706">
        <f t="shared" si="22"/>
        <v>0</v>
      </c>
      <c r="H706" t="e">
        <f t="shared" si="23"/>
        <v>#N/A</v>
      </c>
    </row>
    <row r="707" spans="7:8" x14ac:dyDescent="0.25">
      <c r="G707">
        <f t="shared" ref="G707:G770" si="24">IF(OR($F707="SETTLING",$F707="READY"),NA(),$C707)</f>
        <v>0</v>
      </c>
      <c r="H707" t="e">
        <f t="shared" ref="H707:H770" si="25">IF($F707="SETTLING", $C707, NA())</f>
        <v>#N/A</v>
      </c>
    </row>
    <row r="708" spans="7:8" x14ac:dyDescent="0.25">
      <c r="G708">
        <f t="shared" si="24"/>
        <v>0</v>
      </c>
      <c r="H708" t="e">
        <f t="shared" si="25"/>
        <v>#N/A</v>
      </c>
    </row>
    <row r="709" spans="7:8" x14ac:dyDescent="0.25">
      <c r="G709">
        <f t="shared" si="24"/>
        <v>0</v>
      </c>
      <c r="H709" t="e">
        <f t="shared" si="25"/>
        <v>#N/A</v>
      </c>
    </row>
    <row r="710" spans="7:8" x14ac:dyDescent="0.25">
      <c r="G710">
        <f t="shared" si="24"/>
        <v>0</v>
      </c>
      <c r="H710" t="e">
        <f t="shared" si="25"/>
        <v>#N/A</v>
      </c>
    </row>
    <row r="711" spans="7:8" x14ac:dyDescent="0.25">
      <c r="G711">
        <f t="shared" si="24"/>
        <v>0</v>
      </c>
      <c r="H711" t="e">
        <f t="shared" si="25"/>
        <v>#N/A</v>
      </c>
    </row>
    <row r="712" spans="7:8" x14ac:dyDescent="0.25">
      <c r="G712">
        <f t="shared" si="24"/>
        <v>0</v>
      </c>
      <c r="H712" t="e">
        <f t="shared" si="25"/>
        <v>#N/A</v>
      </c>
    </row>
    <row r="713" spans="7:8" x14ac:dyDescent="0.25">
      <c r="G713">
        <f t="shared" si="24"/>
        <v>0</v>
      </c>
      <c r="H713" t="e">
        <f t="shared" si="25"/>
        <v>#N/A</v>
      </c>
    </row>
    <row r="714" spans="7:8" x14ac:dyDescent="0.25">
      <c r="G714">
        <f t="shared" si="24"/>
        <v>0</v>
      </c>
      <c r="H714" t="e">
        <f t="shared" si="25"/>
        <v>#N/A</v>
      </c>
    </row>
    <row r="715" spans="7:8" x14ac:dyDescent="0.25">
      <c r="G715">
        <f t="shared" si="24"/>
        <v>0</v>
      </c>
      <c r="H715" t="e">
        <f t="shared" si="25"/>
        <v>#N/A</v>
      </c>
    </row>
    <row r="716" spans="7:8" x14ac:dyDescent="0.25">
      <c r="G716">
        <f t="shared" si="24"/>
        <v>0</v>
      </c>
      <c r="H716" t="e">
        <f t="shared" si="25"/>
        <v>#N/A</v>
      </c>
    </row>
    <row r="717" spans="7:8" x14ac:dyDescent="0.25">
      <c r="G717">
        <f t="shared" si="24"/>
        <v>0</v>
      </c>
      <c r="H717" t="e">
        <f t="shared" si="25"/>
        <v>#N/A</v>
      </c>
    </row>
    <row r="718" spans="7:8" x14ac:dyDescent="0.25">
      <c r="G718">
        <f t="shared" si="24"/>
        <v>0</v>
      </c>
      <c r="H718" t="e">
        <f t="shared" si="25"/>
        <v>#N/A</v>
      </c>
    </row>
    <row r="719" spans="7:8" x14ac:dyDescent="0.25">
      <c r="G719">
        <f t="shared" si="24"/>
        <v>0</v>
      </c>
      <c r="H719" t="e">
        <f t="shared" si="25"/>
        <v>#N/A</v>
      </c>
    </row>
    <row r="720" spans="7:8" x14ac:dyDescent="0.25">
      <c r="G720">
        <f t="shared" si="24"/>
        <v>0</v>
      </c>
      <c r="H720" t="e">
        <f t="shared" si="25"/>
        <v>#N/A</v>
      </c>
    </row>
    <row r="721" spans="7:8" x14ac:dyDescent="0.25">
      <c r="G721">
        <f t="shared" si="24"/>
        <v>0</v>
      </c>
      <c r="H721" t="e">
        <f t="shared" si="25"/>
        <v>#N/A</v>
      </c>
    </row>
    <row r="722" spans="7:8" x14ac:dyDescent="0.25">
      <c r="G722">
        <f t="shared" si="24"/>
        <v>0</v>
      </c>
      <c r="H722" t="e">
        <f t="shared" si="25"/>
        <v>#N/A</v>
      </c>
    </row>
    <row r="723" spans="7:8" x14ac:dyDescent="0.25">
      <c r="G723">
        <f t="shared" si="24"/>
        <v>0</v>
      </c>
      <c r="H723" t="e">
        <f t="shared" si="25"/>
        <v>#N/A</v>
      </c>
    </row>
    <row r="724" spans="7:8" x14ac:dyDescent="0.25">
      <c r="G724">
        <f t="shared" si="24"/>
        <v>0</v>
      </c>
      <c r="H724" t="e">
        <f t="shared" si="25"/>
        <v>#N/A</v>
      </c>
    </row>
    <row r="725" spans="7:8" x14ac:dyDescent="0.25">
      <c r="G725">
        <f t="shared" si="24"/>
        <v>0</v>
      </c>
      <c r="H725" t="e">
        <f t="shared" si="25"/>
        <v>#N/A</v>
      </c>
    </row>
    <row r="726" spans="7:8" x14ac:dyDescent="0.25">
      <c r="G726">
        <f t="shared" si="24"/>
        <v>0</v>
      </c>
      <c r="H726" t="e">
        <f t="shared" si="25"/>
        <v>#N/A</v>
      </c>
    </row>
    <row r="727" spans="7:8" x14ac:dyDescent="0.25">
      <c r="G727">
        <f t="shared" si="24"/>
        <v>0</v>
      </c>
      <c r="H727" t="e">
        <f t="shared" si="25"/>
        <v>#N/A</v>
      </c>
    </row>
    <row r="728" spans="7:8" x14ac:dyDescent="0.25">
      <c r="G728">
        <f t="shared" si="24"/>
        <v>0</v>
      </c>
      <c r="H728" t="e">
        <f t="shared" si="25"/>
        <v>#N/A</v>
      </c>
    </row>
    <row r="729" spans="7:8" x14ac:dyDescent="0.25">
      <c r="G729">
        <f t="shared" si="24"/>
        <v>0</v>
      </c>
      <c r="H729" t="e">
        <f t="shared" si="25"/>
        <v>#N/A</v>
      </c>
    </row>
    <row r="730" spans="7:8" x14ac:dyDescent="0.25">
      <c r="G730">
        <f t="shared" si="24"/>
        <v>0</v>
      </c>
      <c r="H730" t="e">
        <f t="shared" si="25"/>
        <v>#N/A</v>
      </c>
    </row>
    <row r="731" spans="7:8" x14ac:dyDescent="0.25">
      <c r="G731">
        <f t="shared" si="24"/>
        <v>0</v>
      </c>
      <c r="H731" t="e">
        <f t="shared" si="25"/>
        <v>#N/A</v>
      </c>
    </row>
    <row r="732" spans="7:8" x14ac:dyDescent="0.25">
      <c r="G732">
        <f t="shared" si="24"/>
        <v>0</v>
      </c>
      <c r="H732" t="e">
        <f t="shared" si="25"/>
        <v>#N/A</v>
      </c>
    </row>
    <row r="733" spans="7:8" x14ac:dyDescent="0.25">
      <c r="G733">
        <f t="shared" si="24"/>
        <v>0</v>
      </c>
      <c r="H733" t="e">
        <f t="shared" si="25"/>
        <v>#N/A</v>
      </c>
    </row>
    <row r="734" spans="7:8" x14ac:dyDescent="0.25">
      <c r="G734">
        <f t="shared" si="24"/>
        <v>0</v>
      </c>
      <c r="H734" t="e">
        <f t="shared" si="25"/>
        <v>#N/A</v>
      </c>
    </row>
    <row r="735" spans="7:8" x14ac:dyDescent="0.25">
      <c r="G735">
        <f t="shared" si="24"/>
        <v>0</v>
      </c>
      <c r="H735" t="e">
        <f t="shared" si="25"/>
        <v>#N/A</v>
      </c>
    </row>
    <row r="736" spans="7:8" x14ac:dyDescent="0.25">
      <c r="G736">
        <f t="shared" si="24"/>
        <v>0</v>
      </c>
      <c r="H736" t="e">
        <f t="shared" si="25"/>
        <v>#N/A</v>
      </c>
    </row>
    <row r="737" spans="7:8" x14ac:dyDescent="0.25">
      <c r="G737">
        <f t="shared" si="24"/>
        <v>0</v>
      </c>
      <c r="H737" t="e">
        <f t="shared" si="25"/>
        <v>#N/A</v>
      </c>
    </row>
    <row r="738" spans="7:8" x14ac:dyDescent="0.25">
      <c r="G738">
        <f t="shared" si="24"/>
        <v>0</v>
      </c>
      <c r="H738" t="e">
        <f t="shared" si="25"/>
        <v>#N/A</v>
      </c>
    </row>
    <row r="739" spans="7:8" x14ac:dyDescent="0.25">
      <c r="G739">
        <f t="shared" si="24"/>
        <v>0</v>
      </c>
      <c r="H739" t="e">
        <f t="shared" si="25"/>
        <v>#N/A</v>
      </c>
    </row>
    <row r="740" spans="7:8" x14ac:dyDescent="0.25">
      <c r="G740">
        <f t="shared" si="24"/>
        <v>0</v>
      </c>
      <c r="H740" t="e">
        <f t="shared" si="25"/>
        <v>#N/A</v>
      </c>
    </row>
    <row r="741" spans="7:8" x14ac:dyDescent="0.25">
      <c r="G741">
        <f t="shared" si="24"/>
        <v>0</v>
      </c>
      <c r="H741" t="e">
        <f t="shared" si="25"/>
        <v>#N/A</v>
      </c>
    </row>
    <row r="742" spans="7:8" x14ac:dyDescent="0.25">
      <c r="G742">
        <f t="shared" si="24"/>
        <v>0</v>
      </c>
      <c r="H742" t="e">
        <f t="shared" si="25"/>
        <v>#N/A</v>
      </c>
    </row>
    <row r="743" spans="7:8" x14ac:dyDescent="0.25">
      <c r="G743">
        <f t="shared" si="24"/>
        <v>0</v>
      </c>
      <c r="H743" t="e">
        <f t="shared" si="25"/>
        <v>#N/A</v>
      </c>
    </row>
    <row r="744" spans="7:8" x14ac:dyDescent="0.25">
      <c r="G744">
        <f t="shared" si="24"/>
        <v>0</v>
      </c>
      <c r="H744" t="e">
        <f t="shared" si="25"/>
        <v>#N/A</v>
      </c>
    </row>
    <row r="745" spans="7:8" x14ac:dyDescent="0.25">
      <c r="G745">
        <f t="shared" si="24"/>
        <v>0</v>
      </c>
      <c r="H745" t="e">
        <f t="shared" si="25"/>
        <v>#N/A</v>
      </c>
    </row>
    <row r="746" spans="7:8" x14ac:dyDescent="0.25">
      <c r="G746">
        <f t="shared" si="24"/>
        <v>0</v>
      </c>
      <c r="H746" t="e">
        <f t="shared" si="25"/>
        <v>#N/A</v>
      </c>
    </row>
    <row r="747" spans="7:8" x14ac:dyDescent="0.25">
      <c r="G747">
        <f t="shared" si="24"/>
        <v>0</v>
      </c>
      <c r="H747" t="e">
        <f t="shared" si="25"/>
        <v>#N/A</v>
      </c>
    </row>
    <row r="748" spans="7:8" x14ac:dyDescent="0.25">
      <c r="G748">
        <f t="shared" si="24"/>
        <v>0</v>
      </c>
      <c r="H748" t="e">
        <f t="shared" si="25"/>
        <v>#N/A</v>
      </c>
    </row>
    <row r="749" spans="7:8" x14ac:dyDescent="0.25">
      <c r="G749">
        <f t="shared" si="24"/>
        <v>0</v>
      </c>
      <c r="H749" t="e">
        <f t="shared" si="25"/>
        <v>#N/A</v>
      </c>
    </row>
    <row r="750" spans="7:8" x14ac:dyDescent="0.25">
      <c r="G750">
        <f t="shared" si="24"/>
        <v>0</v>
      </c>
      <c r="H750" t="e">
        <f t="shared" si="25"/>
        <v>#N/A</v>
      </c>
    </row>
    <row r="751" spans="7:8" x14ac:dyDescent="0.25">
      <c r="G751">
        <f t="shared" si="24"/>
        <v>0</v>
      </c>
      <c r="H751" t="e">
        <f t="shared" si="25"/>
        <v>#N/A</v>
      </c>
    </row>
    <row r="752" spans="7:8" x14ac:dyDescent="0.25">
      <c r="G752">
        <f t="shared" si="24"/>
        <v>0</v>
      </c>
      <c r="H752" t="e">
        <f t="shared" si="25"/>
        <v>#N/A</v>
      </c>
    </row>
    <row r="753" spans="7:8" x14ac:dyDescent="0.25">
      <c r="G753">
        <f t="shared" si="24"/>
        <v>0</v>
      </c>
      <c r="H753" t="e">
        <f t="shared" si="25"/>
        <v>#N/A</v>
      </c>
    </row>
    <row r="754" spans="7:8" x14ac:dyDescent="0.25">
      <c r="G754">
        <f t="shared" si="24"/>
        <v>0</v>
      </c>
      <c r="H754" t="e">
        <f t="shared" si="25"/>
        <v>#N/A</v>
      </c>
    </row>
    <row r="755" spans="7:8" x14ac:dyDescent="0.25">
      <c r="G755">
        <f t="shared" si="24"/>
        <v>0</v>
      </c>
      <c r="H755" t="e">
        <f t="shared" si="25"/>
        <v>#N/A</v>
      </c>
    </row>
    <row r="756" spans="7:8" x14ac:dyDescent="0.25">
      <c r="G756">
        <f t="shared" si="24"/>
        <v>0</v>
      </c>
      <c r="H756" t="e">
        <f t="shared" si="25"/>
        <v>#N/A</v>
      </c>
    </row>
    <row r="757" spans="7:8" x14ac:dyDescent="0.25">
      <c r="G757">
        <f t="shared" si="24"/>
        <v>0</v>
      </c>
      <c r="H757" t="e">
        <f t="shared" si="25"/>
        <v>#N/A</v>
      </c>
    </row>
    <row r="758" spans="7:8" x14ac:dyDescent="0.25">
      <c r="G758">
        <f t="shared" si="24"/>
        <v>0</v>
      </c>
      <c r="H758" t="e">
        <f t="shared" si="25"/>
        <v>#N/A</v>
      </c>
    </row>
    <row r="759" spans="7:8" x14ac:dyDescent="0.25">
      <c r="G759">
        <f t="shared" si="24"/>
        <v>0</v>
      </c>
      <c r="H759" t="e">
        <f t="shared" si="25"/>
        <v>#N/A</v>
      </c>
    </row>
    <row r="760" spans="7:8" x14ac:dyDescent="0.25">
      <c r="G760">
        <f t="shared" si="24"/>
        <v>0</v>
      </c>
      <c r="H760" t="e">
        <f t="shared" si="25"/>
        <v>#N/A</v>
      </c>
    </row>
    <row r="761" spans="7:8" x14ac:dyDescent="0.25">
      <c r="G761">
        <f t="shared" si="24"/>
        <v>0</v>
      </c>
      <c r="H761" t="e">
        <f t="shared" si="25"/>
        <v>#N/A</v>
      </c>
    </row>
    <row r="762" spans="7:8" x14ac:dyDescent="0.25">
      <c r="G762">
        <f t="shared" si="24"/>
        <v>0</v>
      </c>
      <c r="H762" t="e">
        <f t="shared" si="25"/>
        <v>#N/A</v>
      </c>
    </row>
    <row r="763" spans="7:8" x14ac:dyDescent="0.25">
      <c r="G763">
        <f t="shared" si="24"/>
        <v>0</v>
      </c>
      <c r="H763" t="e">
        <f t="shared" si="25"/>
        <v>#N/A</v>
      </c>
    </row>
    <row r="764" spans="7:8" x14ac:dyDescent="0.25">
      <c r="G764">
        <f t="shared" si="24"/>
        <v>0</v>
      </c>
      <c r="H764" t="e">
        <f t="shared" si="25"/>
        <v>#N/A</v>
      </c>
    </row>
    <row r="765" spans="7:8" x14ac:dyDescent="0.25">
      <c r="G765">
        <f t="shared" si="24"/>
        <v>0</v>
      </c>
      <c r="H765" t="e">
        <f t="shared" si="25"/>
        <v>#N/A</v>
      </c>
    </row>
    <row r="766" spans="7:8" x14ac:dyDescent="0.25">
      <c r="G766">
        <f t="shared" si="24"/>
        <v>0</v>
      </c>
      <c r="H766" t="e">
        <f t="shared" si="25"/>
        <v>#N/A</v>
      </c>
    </row>
    <row r="767" spans="7:8" x14ac:dyDescent="0.25">
      <c r="G767">
        <f t="shared" si="24"/>
        <v>0</v>
      </c>
      <c r="H767" t="e">
        <f t="shared" si="25"/>
        <v>#N/A</v>
      </c>
    </row>
    <row r="768" spans="7:8" x14ac:dyDescent="0.25">
      <c r="G768">
        <f t="shared" si="24"/>
        <v>0</v>
      </c>
      <c r="H768" t="e">
        <f t="shared" si="25"/>
        <v>#N/A</v>
      </c>
    </row>
    <row r="769" spans="7:8" x14ac:dyDescent="0.25">
      <c r="G769">
        <f t="shared" si="24"/>
        <v>0</v>
      </c>
      <c r="H769" t="e">
        <f t="shared" si="25"/>
        <v>#N/A</v>
      </c>
    </row>
    <row r="770" spans="7:8" x14ac:dyDescent="0.25">
      <c r="G770">
        <f t="shared" si="24"/>
        <v>0</v>
      </c>
      <c r="H770" t="e">
        <f t="shared" si="25"/>
        <v>#N/A</v>
      </c>
    </row>
    <row r="771" spans="7:8" x14ac:dyDescent="0.25">
      <c r="G771">
        <f t="shared" ref="G771:G834" si="26">IF(OR($F771="SETTLING",$F771="READY"),NA(),$C771)</f>
        <v>0</v>
      </c>
      <c r="H771" t="e">
        <f t="shared" ref="H771:H834" si="27">IF($F771="SETTLING", $C771, NA())</f>
        <v>#N/A</v>
      </c>
    </row>
    <row r="772" spans="7:8" x14ac:dyDescent="0.25">
      <c r="G772">
        <f t="shared" si="26"/>
        <v>0</v>
      </c>
      <c r="H772" t="e">
        <f t="shared" si="27"/>
        <v>#N/A</v>
      </c>
    </row>
    <row r="773" spans="7:8" x14ac:dyDescent="0.25">
      <c r="G773">
        <f t="shared" si="26"/>
        <v>0</v>
      </c>
      <c r="H773" t="e">
        <f t="shared" si="27"/>
        <v>#N/A</v>
      </c>
    </row>
    <row r="774" spans="7:8" x14ac:dyDescent="0.25">
      <c r="G774">
        <f t="shared" si="26"/>
        <v>0</v>
      </c>
      <c r="H774" t="e">
        <f t="shared" si="27"/>
        <v>#N/A</v>
      </c>
    </row>
    <row r="775" spans="7:8" x14ac:dyDescent="0.25">
      <c r="G775">
        <f t="shared" si="26"/>
        <v>0</v>
      </c>
      <c r="H775" t="e">
        <f t="shared" si="27"/>
        <v>#N/A</v>
      </c>
    </row>
    <row r="776" spans="7:8" x14ac:dyDescent="0.25">
      <c r="G776">
        <f t="shared" si="26"/>
        <v>0</v>
      </c>
      <c r="H776" t="e">
        <f t="shared" si="27"/>
        <v>#N/A</v>
      </c>
    </row>
    <row r="777" spans="7:8" x14ac:dyDescent="0.25">
      <c r="G777">
        <f t="shared" si="26"/>
        <v>0</v>
      </c>
      <c r="H777" t="e">
        <f t="shared" si="27"/>
        <v>#N/A</v>
      </c>
    </row>
    <row r="778" spans="7:8" x14ac:dyDescent="0.25">
      <c r="G778">
        <f t="shared" si="26"/>
        <v>0</v>
      </c>
      <c r="H778" t="e">
        <f t="shared" si="27"/>
        <v>#N/A</v>
      </c>
    </row>
    <row r="779" spans="7:8" x14ac:dyDescent="0.25">
      <c r="G779">
        <f t="shared" si="26"/>
        <v>0</v>
      </c>
      <c r="H779" t="e">
        <f t="shared" si="27"/>
        <v>#N/A</v>
      </c>
    </row>
    <row r="780" spans="7:8" x14ac:dyDescent="0.25">
      <c r="G780">
        <f t="shared" si="26"/>
        <v>0</v>
      </c>
      <c r="H780" t="e">
        <f t="shared" si="27"/>
        <v>#N/A</v>
      </c>
    </row>
    <row r="781" spans="7:8" x14ac:dyDescent="0.25">
      <c r="G781">
        <f t="shared" si="26"/>
        <v>0</v>
      </c>
      <c r="H781" t="e">
        <f t="shared" si="27"/>
        <v>#N/A</v>
      </c>
    </row>
    <row r="782" spans="7:8" x14ac:dyDescent="0.25">
      <c r="G782">
        <f t="shared" si="26"/>
        <v>0</v>
      </c>
      <c r="H782" t="e">
        <f t="shared" si="27"/>
        <v>#N/A</v>
      </c>
    </row>
    <row r="783" spans="7:8" x14ac:dyDescent="0.25">
      <c r="G783">
        <f t="shared" si="26"/>
        <v>0</v>
      </c>
      <c r="H783" t="e">
        <f t="shared" si="27"/>
        <v>#N/A</v>
      </c>
    </row>
    <row r="784" spans="7:8" x14ac:dyDescent="0.25">
      <c r="G784">
        <f t="shared" si="26"/>
        <v>0</v>
      </c>
      <c r="H784" t="e">
        <f t="shared" si="27"/>
        <v>#N/A</v>
      </c>
    </row>
    <row r="785" spans="7:8" x14ac:dyDescent="0.25">
      <c r="G785">
        <f t="shared" si="26"/>
        <v>0</v>
      </c>
      <c r="H785" t="e">
        <f t="shared" si="27"/>
        <v>#N/A</v>
      </c>
    </row>
    <row r="786" spans="7:8" x14ac:dyDescent="0.25">
      <c r="G786">
        <f t="shared" si="26"/>
        <v>0</v>
      </c>
      <c r="H786" t="e">
        <f t="shared" si="27"/>
        <v>#N/A</v>
      </c>
    </row>
    <row r="787" spans="7:8" x14ac:dyDescent="0.25">
      <c r="G787">
        <f t="shared" si="26"/>
        <v>0</v>
      </c>
      <c r="H787" t="e">
        <f t="shared" si="27"/>
        <v>#N/A</v>
      </c>
    </row>
    <row r="788" spans="7:8" x14ac:dyDescent="0.25">
      <c r="G788">
        <f t="shared" si="26"/>
        <v>0</v>
      </c>
      <c r="H788" t="e">
        <f t="shared" si="27"/>
        <v>#N/A</v>
      </c>
    </row>
    <row r="789" spans="7:8" x14ac:dyDescent="0.25">
      <c r="G789">
        <f t="shared" si="26"/>
        <v>0</v>
      </c>
      <c r="H789" t="e">
        <f t="shared" si="27"/>
        <v>#N/A</v>
      </c>
    </row>
    <row r="790" spans="7:8" x14ac:dyDescent="0.25">
      <c r="G790">
        <f t="shared" si="26"/>
        <v>0</v>
      </c>
      <c r="H790" t="e">
        <f t="shared" si="27"/>
        <v>#N/A</v>
      </c>
    </row>
    <row r="791" spans="7:8" x14ac:dyDescent="0.25">
      <c r="G791">
        <f t="shared" si="26"/>
        <v>0</v>
      </c>
      <c r="H791" t="e">
        <f t="shared" si="27"/>
        <v>#N/A</v>
      </c>
    </row>
    <row r="792" spans="7:8" x14ac:dyDescent="0.25">
      <c r="G792">
        <f t="shared" si="26"/>
        <v>0</v>
      </c>
      <c r="H792" t="e">
        <f t="shared" si="27"/>
        <v>#N/A</v>
      </c>
    </row>
    <row r="793" spans="7:8" x14ac:dyDescent="0.25">
      <c r="G793">
        <f t="shared" si="26"/>
        <v>0</v>
      </c>
      <c r="H793" t="e">
        <f t="shared" si="27"/>
        <v>#N/A</v>
      </c>
    </row>
    <row r="794" spans="7:8" x14ac:dyDescent="0.25">
      <c r="G794">
        <f t="shared" si="26"/>
        <v>0</v>
      </c>
      <c r="H794" t="e">
        <f t="shared" si="27"/>
        <v>#N/A</v>
      </c>
    </row>
    <row r="795" spans="7:8" x14ac:dyDescent="0.25">
      <c r="G795">
        <f t="shared" si="26"/>
        <v>0</v>
      </c>
      <c r="H795" t="e">
        <f t="shared" si="27"/>
        <v>#N/A</v>
      </c>
    </row>
    <row r="796" spans="7:8" x14ac:dyDescent="0.25">
      <c r="G796">
        <f t="shared" si="26"/>
        <v>0</v>
      </c>
      <c r="H796" t="e">
        <f t="shared" si="27"/>
        <v>#N/A</v>
      </c>
    </row>
    <row r="797" spans="7:8" x14ac:dyDescent="0.25">
      <c r="G797">
        <f t="shared" si="26"/>
        <v>0</v>
      </c>
      <c r="H797" t="e">
        <f t="shared" si="27"/>
        <v>#N/A</v>
      </c>
    </row>
    <row r="798" spans="7:8" x14ac:dyDescent="0.25">
      <c r="G798">
        <f t="shared" si="26"/>
        <v>0</v>
      </c>
      <c r="H798" t="e">
        <f t="shared" si="27"/>
        <v>#N/A</v>
      </c>
    </row>
    <row r="799" spans="7:8" x14ac:dyDescent="0.25">
      <c r="G799">
        <f t="shared" si="26"/>
        <v>0</v>
      </c>
      <c r="H799" t="e">
        <f t="shared" si="27"/>
        <v>#N/A</v>
      </c>
    </row>
    <row r="800" spans="7:8" x14ac:dyDescent="0.25">
      <c r="G800">
        <f t="shared" si="26"/>
        <v>0</v>
      </c>
      <c r="H800" t="e">
        <f t="shared" si="27"/>
        <v>#N/A</v>
      </c>
    </row>
    <row r="801" spans="7:8" x14ac:dyDescent="0.25">
      <c r="G801">
        <f t="shared" si="26"/>
        <v>0</v>
      </c>
      <c r="H801" t="e">
        <f t="shared" si="27"/>
        <v>#N/A</v>
      </c>
    </row>
    <row r="802" spans="7:8" x14ac:dyDescent="0.25">
      <c r="G802">
        <f t="shared" si="26"/>
        <v>0</v>
      </c>
      <c r="H802" t="e">
        <f t="shared" si="27"/>
        <v>#N/A</v>
      </c>
    </row>
    <row r="803" spans="7:8" x14ac:dyDescent="0.25">
      <c r="G803">
        <f t="shared" si="26"/>
        <v>0</v>
      </c>
      <c r="H803" t="e">
        <f t="shared" si="27"/>
        <v>#N/A</v>
      </c>
    </row>
    <row r="804" spans="7:8" x14ac:dyDescent="0.25">
      <c r="G804">
        <f t="shared" si="26"/>
        <v>0</v>
      </c>
      <c r="H804" t="e">
        <f t="shared" si="27"/>
        <v>#N/A</v>
      </c>
    </row>
    <row r="805" spans="7:8" x14ac:dyDescent="0.25">
      <c r="G805">
        <f t="shared" si="26"/>
        <v>0</v>
      </c>
      <c r="H805" t="e">
        <f t="shared" si="27"/>
        <v>#N/A</v>
      </c>
    </row>
    <row r="806" spans="7:8" x14ac:dyDescent="0.25">
      <c r="G806">
        <f t="shared" si="26"/>
        <v>0</v>
      </c>
      <c r="H806" t="e">
        <f t="shared" si="27"/>
        <v>#N/A</v>
      </c>
    </row>
    <row r="807" spans="7:8" x14ac:dyDescent="0.25">
      <c r="G807">
        <f t="shared" si="26"/>
        <v>0</v>
      </c>
      <c r="H807" t="e">
        <f t="shared" si="27"/>
        <v>#N/A</v>
      </c>
    </row>
    <row r="808" spans="7:8" x14ac:dyDescent="0.25">
      <c r="G808">
        <f t="shared" si="26"/>
        <v>0</v>
      </c>
      <c r="H808" t="e">
        <f t="shared" si="27"/>
        <v>#N/A</v>
      </c>
    </row>
    <row r="809" spans="7:8" x14ac:dyDescent="0.25">
      <c r="G809">
        <f t="shared" si="26"/>
        <v>0</v>
      </c>
      <c r="H809" t="e">
        <f t="shared" si="27"/>
        <v>#N/A</v>
      </c>
    </row>
    <row r="810" spans="7:8" x14ac:dyDescent="0.25">
      <c r="G810">
        <f t="shared" si="26"/>
        <v>0</v>
      </c>
      <c r="H810" t="e">
        <f t="shared" si="27"/>
        <v>#N/A</v>
      </c>
    </row>
    <row r="811" spans="7:8" x14ac:dyDescent="0.25">
      <c r="G811">
        <f t="shared" si="26"/>
        <v>0</v>
      </c>
      <c r="H811" t="e">
        <f t="shared" si="27"/>
        <v>#N/A</v>
      </c>
    </row>
    <row r="812" spans="7:8" x14ac:dyDescent="0.25">
      <c r="G812">
        <f t="shared" si="26"/>
        <v>0</v>
      </c>
      <c r="H812" t="e">
        <f t="shared" si="27"/>
        <v>#N/A</v>
      </c>
    </row>
    <row r="813" spans="7:8" x14ac:dyDescent="0.25">
      <c r="G813">
        <f t="shared" si="26"/>
        <v>0</v>
      </c>
      <c r="H813" t="e">
        <f t="shared" si="27"/>
        <v>#N/A</v>
      </c>
    </row>
    <row r="814" spans="7:8" x14ac:dyDescent="0.25">
      <c r="G814">
        <f t="shared" si="26"/>
        <v>0</v>
      </c>
      <c r="H814" t="e">
        <f t="shared" si="27"/>
        <v>#N/A</v>
      </c>
    </row>
    <row r="815" spans="7:8" x14ac:dyDescent="0.25">
      <c r="G815">
        <f t="shared" si="26"/>
        <v>0</v>
      </c>
      <c r="H815" t="e">
        <f t="shared" si="27"/>
        <v>#N/A</v>
      </c>
    </row>
    <row r="816" spans="7:8" x14ac:dyDescent="0.25">
      <c r="G816">
        <f t="shared" si="26"/>
        <v>0</v>
      </c>
      <c r="H816" t="e">
        <f t="shared" si="27"/>
        <v>#N/A</v>
      </c>
    </row>
    <row r="817" spans="7:8" x14ac:dyDescent="0.25">
      <c r="G817">
        <f t="shared" si="26"/>
        <v>0</v>
      </c>
      <c r="H817" t="e">
        <f t="shared" si="27"/>
        <v>#N/A</v>
      </c>
    </row>
    <row r="818" spans="7:8" x14ac:dyDescent="0.25">
      <c r="G818">
        <f t="shared" si="26"/>
        <v>0</v>
      </c>
      <c r="H818" t="e">
        <f t="shared" si="27"/>
        <v>#N/A</v>
      </c>
    </row>
    <row r="819" spans="7:8" x14ac:dyDescent="0.25">
      <c r="G819">
        <f t="shared" si="26"/>
        <v>0</v>
      </c>
      <c r="H819" t="e">
        <f t="shared" si="27"/>
        <v>#N/A</v>
      </c>
    </row>
    <row r="820" spans="7:8" x14ac:dyDescent="0.25">
      <c r="G820">
        <f t="shared" si="26"/>
        <v>0</v>
      </c>
      <c r="H820" t="e">
        <f t="shared" si="27"/>
        <v>#N/A</v>
      </c>
    </row>
    <row r="821" spans="7:8" x14ac:dyDescent="0.25">
      <c r="G821">
        <f t="shared" si="26"/>
        <v>0</v>
      </c>
      <c r="H821" t="e">
        <f t="shared" si="27"/>
        <v>#N/A</v>
      </c>
    </row>
    <row r="822" spans="7:8" x14ac:dyDescent="0.25">
      <c r="G822">
        <f t="shared" si="26"/>
        <v>0</v>
      </c>
      <c r="H822" t="e">
        <f t="shared" si="27"/>
        <v>#N/A</v>
      </c>
    </row>
    <row r="823" spans="7:8" x14ac:dyDescent="0.25">
      <c r="G823">
        <f t="shared" si="26"/>
        <v>0</v>
      </c>
      <c r="H823" t="e">
        <f t="shared" si="27"/>
        <v>#N/A</v>
      </c>
    </row>
    <row r="824" spans="7:8" x14ac:dyDescent="0.25">
      <c r="G824">
        <f t="shared" si="26"/>
        <v>0</v>
      </c>
      <c r="H824" t="e">
        <f t="shared" si="27"/>
        <v>#N/A</v>
      </c>
    </row>
    <row r="825" spans="7:8" x14ac:dyDescent="0.25">
      <c r="G825">
        <f t="shared" si="26"/>
        <v>0</v>
      </c>
      <c r="H825" t="e">
        <f t="shared" si="27"/>
        <v>#N/A</v>
      </c>
    </row>
    <row r="826" spans="7:8" x14ac:dyDescent="0.25">
      <c r="G826">
        <f t="shared" si="26"/>
        <v>0</v>
      </c>
      <c r="H826" t="e">
        <f t="shared" si="27"/>
        <v>#N/A</v>
      </c>
    </row>
    <row r="827" spans="7:8" x14ac:dyDescent="0.25">
      <c r="G827">
        <f t="shared" si="26"/>
        <v>0</v>
      </c>
      <c r="H827" t="e">
        <f t="shared" si="27"/>
        <v>#N/A</v>
      </c>
    </row>
    <row r="828" spans="7:8" x14ac:dyDescent="0.25">
      <c r="G828">
        <f t="shared" si="26"/>
        <v>0</v>
      </c>
      <c r="H828" t="e">
        <f t="shared" si="27"/>
        <v>#N/A</v>
      </c>
    </row>
    <row r="829" spans="7:8" x14ac:dyDescent="0.25">
      <c r="G829">
        <f t="shared" si="26"/>
        <v>0</v>
      </c>
      <c r="H829" t="e">
        <f t="shared" si="27"/>
        <v>#N/A</v>
      </c>
    </row>
    <row r="830" spans="7:8" x14ac:dyDescent="0.25">
      <c r="G830">
        <f t="shared" si="26"/>
        <v>0</v>
      </c>
      <c r="H830" t="e">
        <f t="shared" si="27"/>
        <v>#N/A</v>
      </c>
    </row>
    <row r="831" spans="7:8" x14ac:dyDescent="0.25">
      <c r="G831">
        <f t="shared" si="26"/>
        <v>0</v>
      </c>
      <c r="H831" t="e">
        <f t="shared" si="27"/>
        <v>#N/A</v>
      </c>
    </row>
    <row r="832" spans="7:8" x14ac:dyDescent="0.25">
      <c r="G832">
        <f t="shared" si="26"/>
        <v>0</v>
      </c>
      <c r="H832" t="e">
        <f t="shared" si="27"/>
        <v>#N/A</v>
      </c>
    </row>
    <row r="833" spans="7:8" x14ac:dyDescent="0.25">
      <c r="G833">
        <f t="shared" si="26"/>
        <v>0</v>
      </c>
      <c r="H833" t="e">
        <f t="shared" si="27"/>
        <v>#N/A</v>
      </c>
    </row>
    <row r="834" spans="7:8" x14ac:dyDescent="0.25">
      <c r="G834">
        <f t="shared" si="26"/>
        <v>0</v>
      </c>
      <c r="H834" t="e">
        <f t="shared" si="27"/>
        <v>#N/A</v>
      </c>
    </row>
    <row r="835" spans="7:8" x14ac:dyDescent="0.25">
      <c r="G835">
        <f t="shared" ref="G835:G898" si="28">IF(OR($F835="SETTLING",$F835="READY"),NA(),$C835)</f>
        <v>0</v>
      </c>
      <c r="H835" t="e">
        <f t="shared" ref="H835:H898" si="29">IF($F835="SETTLING", $C835, NA())</f>
        <v>#N/A</v>
      </c>
    </row>
    <row r="836" spans="7:8" x14ac:dyDescent="0.25">
      <c r="G836">
        <f t="shared" si="28"/>
        <v>0</v>
      </c>
      <c r="H836" t="e">
        <f t="shared" si="29"/>
        <v>#N/A</v>
      </c>
    </row>
    <row r="837" spans="7:8" x14ac:dyDescent="0.25">
      <c r="G837">
        <f t="shared" si="28"/>
        <v>0</v>
      </c>
      <c r="H837" t="e">
        <f t="shared" si="29"/>
        <v>#N/A</v>
      </c>
    </row>
    <row r="838" spans="7:8" x14ac:dyDescent="0.25">
      <c r="G838">
        <f t="shared" si="28"/>
        <v>0</v>
      </c>
      <c r="H838" t="e">
        <f t="shared" si="29"/>
        <v>#N/A</v>
      </c>
    </row>
    <row r="839" spans="7:8" x14ac:dyDescent="0.25">
      <c r="G839">
        <f t="shared" si="28"/>
        <v>0</v>
      </c>
      <c r="H839" t="e">
        <f t="shared" si="29"/>
        <v>#N/A</v>
      </c>
    </row>
    <row r="840" spans="7:8" x14ac:dyDescent="0.25">
      <c r="G840">
        <f t="shared" si="28"/>
        <v>0</v>
      </c>
      <c r="H840" t="e">
        <f t="shared" si="29"/>
        <v>#N/A</v>
      </c>
    </row>
    <row r="841" spans="7:8" x14ac:dyDescent="0.25">
      <c r="G841">
        <f t="shared" si="28"/>
        <v>0</v>
      </c>
      <c r="H841" t="e">
        <f t="shared" si="29"/>
        <v>#N/A</v>
      </c>
    </row>
    <row r="842" spans="7:8" x14ac:dyDescent="0.25">
      <c r="G842">
        <f t="shared" si="28"/>
        <v>0</v>
      </c>
      <c r="H842" t="e">
        <f t="shared" si="29"/>
        <v>#N/A</v>
      </c>
    </row>
    <row r="843" spans="7:8" x14ac:dyDescent="0.25">
      <c r="G843">
        <f t="shared" si="28"/>
        <v>0</v>
      </c>
      <c r="H843" t="e">
        <f t="shared" si="29"/>
        <v>#N/A</v>
      </c>
    </row>
    <row r="844" spans="7:8" x14ac:dyDescent="0.25">
      <c r="G844">
        <f t="shared" si="28"/>
        <v>0</v>
      </c>
      <c r="H844" t="e">
        <f t="shared" si="29"/>
        <v>#N/A</v>
      </c>
    </row>
    <row r="845" spans="7:8" x14ac:dyDescent="0.25">
      <c r="G845">
        <f t="shared" si="28"/>
        <v>0</v>
      </c>
      <c r="H845" t="e">
        <f t="shared" si="29"/>
        <v>#N/A</v>
      </c>
    </row>
    <row r="846" spans="7:8" x14ac:dyDescent="0.25">
      <c r="G846">
        <f t="shared" si="28"/>
        <v>0</v>
      </c>
      <c r="H846" t="e">
        <f t="shared" si="29"/>
        <v>#N/A</v>
      </c>
    </row>
    <row r="847" spans="7:8" x14ac:dyDescent="0.25">
      <c r="G847">
        <f t="shared" si="28"/>
        <v>0</v>
      </c>
      <c r="H847" t="e">
        <f t="shared" si="29"/>
        <v>#N/A</v>
      </c>
    </row>
    <row r="848" spans="7:8" x14ac:dyDescent="0.25">
      <c r="G848">
        <f t="shared" si="28"/>
        <v>0</v>
      </c>
      <c r="H848" t="e">
        <f t="shared" si="29"/>
        <v>#N/A</v>
      </c>
    </row>
    <row r="849" spans="7:8" x14ac:dyDescent="0.25">
      <c r="G849">
        <f t="shared" si="28"/>
        <v>0</v>
      </c>
      <c r="H849" t="e">
        <f t="shared" si="29"/>
        <v>#N/A</v>
      </c>
    </row>
    <row r="850" spans="7:8" x14ac:dyDescent="0.25">
      <c r="G850">
        <f t="shared" si="28"/>
        <v>0</v>
      </c>
      <c r="H850" t="e">
        <f t="shared" si="29"/>
        <v>#N/A</v>
      </c>
    </row>
    <row r="851" spans="7:8" x14ac:dyDescent="0.25">
      <c r="G851">
        <f t="shared" si="28"/>
        <v>0</v>
      </c>
      <c r="H851" t="e">
        <f t="shared" si="29"/>
        <v>#N/A</v>
      </c>
    </row>
    <row r="852" spans="7:8" x14ac:dyDescent="0.25">
      <c r="G852">
        <f t="shared" si="28"/>
        <v>0</v>
      </c>
      <c r="H852" t="e">
        <f t="shared" si="29"/>
        <v>#N/A</v>
      </c>
    </row>
    <row r="853" spans="7:8" x14ac:dyDescent="0.25">
      <c r="G853">
        <f t="shared" si="28"/>
        <v>0</v>
      </c>
      <c r="H853" t="e">
        <f t="shared" si="29"/>
        <v>#N/A</v>
      </c>
    </row>
    <row r="854" spans="7:8" x14ac:dyDescent="0.25">
      <c r="G854">
        <f t="shared" si="28"/>
        <v>0</v>
      </c>
      <c r="H854" t="e">
        <f t="shared" si="29"/>
        <v>#N/A</v>
      </c>
    </row>
    <row r="855" spans="7:8" x14ac:dyDescent="0.25">
      <c r="G855">
        <f t="shared" si="28"/>
        <v>0</v>
      </c>
      <c r="H855" t="e">
        <f t="shared" si="29"/>
        <v>#N/A</v>
      </c>
    </row>
    <row r="856" spans="7:8" x14ac:dyDescent="0.25">
      <c r="G856">
        <f t="shared" si="28"/>
        <v>0</v>
      </c>
      <c r="H856" t="e">
        <f t="shared" si="29"/>
        <v>#N/A</v>
      </c>
    </row>
    <row r="857" spans="7:8" x14ac:dyDescent="0.25">
      <c r="G857">
        <f t="shared" si="28"/>
        <v>0</v>
      </c>
      <c r="H857" t="e">
        <f t="shared" si="29"/>
        <v>#N/A</v>
      </c>
    </row>
    <row r="858" spans="7:8" x14ac:dyDescent="0.25">
      <c r="G858">
        <f t="shared" si="28"/>
        <v>0</v>
      </c>
      <c r="H858" t="e">
        <f t="shared" si="29"/>
        <v>#N/A</v>
      </c>
    </row>
    <row r="859" spans="7:8" x14ac:dyDescent="0.25">
      <c r="G859">
        <f t="shared" si="28"/>
        <v>0</v>
      </c>
      <c r="H859" t="e">
        <f t="shared" si="29"/>
        <v>#N/A</v>
      </c>
    </row>
    <row r="860" spans="7:8" x14ac:dyDescent="0.25">
      <c r="G860">
        <f t="shared" si="28"/>
        <v>0</v>
      </c>
      <c r="H860" t="e">
        <f t="shared" si="29"/>
        <v>#N/A</v>
      </c>
    </row>
    <row r="861" spans="7:8" x14ac:dyDescent="0.25">
      <c r="G861">
        <f t="shared" si="28"/>
        <v>0</v>
      </c>
      <c r="H861" t="e">
        <f t="shared" si="29"/>
        <v>#N/A</v>
      </c>
    </row>
    <row r="862" spans="7:8" x14ac:dyDescent="0.25">
      <c r="G862">
        <f t="shared" si="28"/>
        <v>0</v>
      </c>
      <c r="H862" t="e">
        <f t="shared" si="29"/>
        <v>#N/A</v>
      </c>
    </row>
    <row r="863" spans="7:8" x14ac:dyDescent="0.25">
      <c r="G863">
        <f t="shared" si="28"/>
        <v>0</v>
      </c>
      <c r="H863" t="e">
        <f t="shared" si="29"/>
        <v>#N/A</v>
      </c>
    </row>
    <row r="864" spans="7:8" x14ac:dyDescent="0.25">
      <c r="G864">
        <f t="shared" si="28"/>
        <v>0</v>
      </c>
      <c r="H864" t="e">
        <f t="shared" si="29"/>
        <v>#N/A</v>
      </c>
    </row>
    <row r="865" spans="7:8" x14ac:dyDescent="0.25">
      <c r="G865">
        <f t="shared" si="28"/>
        <v>0</v>
      </c>
      <c r="H865" t="e">
        <f t="shared" si="29"/>
        <v>#N/A</v>
      </c>
    </row>
    <row r="866" spans="7:8" x14ac:dyDescent="0.25">
      <c r="G866">
        <f t="shared" si="28"/>
        <v>0</v>
      </c>
      <c r="H866" t="e">
        <f t="shared" si="29"/>
        <v>#N/A</v>
      </c>
    </row>
    <row r="867" spans="7:8" x14ac:dyDescent="0.25">
      <c r="G867">
        <f t="shared" si="28"/>
        <v>0</v>
      </c>
      <c r="H867" t="e">
        <f t="shared" si="29"/>
        <v>#N/A</v>
      </c>
    </row>
    <row r="868" spans="7:8" x14ac:dyDescent="0.25">
      <c r="G868">
        <f t="shared" si="28"/>
        <v>0</v>
      </c>
      <c r="H868" t="e">
        <f t="shared" si="29"/>
        <v>#N/A</v>
      </c>
    </row>
    <row r="869" spans="7:8" x14ac:dyDescent="0.25">
      <c r="G869">
        <f t="shared" si="28"/>
        <v>0</v>
      </c>
      <c r="H869" t="e">
        <f t="shared" si="29"/>
        <v>#N/A</v>
      </c>
    </row>
    <row r="870" spans="7:8" x14ac:dyDescent="0.25">
      <c r="G870">
        <f t="shared" si="28"/>
        <v>0</v>
      </c>
      <c r="H870" t="e">
        <f t="shared" si="29"/>
        <v>#N/A</v>
      </c>
    </row>
    <row r="871" spans="7:8" x14ac:dyDescent="0.25">
      <c r="G871">
        <f t="shared" si="28"/>
        <v>0</v>
      </c>
      <c r="H871" t="e">
        <f t="shared" si="29"/>
        <v>#N/A</v>
      </c>
    </row>
    <row r="872" spans="7:8" x14ac:dyDescent="0.25">
      <c r="G872">
        <f t="shared" si="28"/>
        <v>0</v>
      </c>
      <c r="H872" t="e">
        <f t="shared" si="29"/>
        <v>#N/A</v>
      </c>
    </row>
    <row r="873" spans="7:8" x14ac:dyDescent="0.25">
      <c r="G873">
        <f t="shared" si="28"/>
        <v>0</v>
      </c>
      <c r="H873" t="e">
        <f t="shared" si="29"/>
        <v>#N/A</v>
      </c>
    </row>
    <row r="874" spans="7:8" x14ac:dyDescent="0.25">
      <c r="G874">
        <f t="shared" si="28"/>
        <v>0</v>
      </c>
      <c r="H874" t="e">
        <f t="shared" si="29"/>
        <v>#N/A</v>
      </c>
    </row>
    <row r="875" spans="7:8" x14ac:dyDescent="0.25">
      <c r="G875">
        <f t="shared" si="28"/>
        <v>0</v>
      </c>
      <c r="H875" t="e">
        <f t="shared" si="29"/>
        <v>#N/A</v>
      </c>
    </row>
    <row r="876" spans="7:8" x14ac:dyDescent="0.25">
      <c r="G876">
        <f t="shared" si="28"/>
        <v>0</v>
      </c>
      <c r="H876" t="e">
        <f t="shared" si="29"/>
        <v>#N/A</v>
      </c>
    </row>
    <row r="877" spans="7:8" x14ac:dyDescent="0.25">
      <c r="G877">
        <f t="shared" si="28"/>
        <v>0</v>
      </c>
      <c r="H877" t="e">
        <f t="shared" si="29"/>
        <v>#N/A</v>
      </c>
    </row>
    <row r="878" spans="7:8" x14ac:dyDescent="0.25">
      <c r="G878">
        <f t="shared" si="28"/>
        <v>0</v>
      </c>
      <c r="H878" t="e">
        <f t="shared" si="29"/>
        <v>#N/A</v>
      </c>
    </row>
    <row r="879" spans="7:8" x14ac:dyDescent="0.25">
      <c r="G879">
        <f t="shared" si="28"/>
        <v>0</v>
      </c>
      <c r="H879" t="e">
        <f t="shared" si="29"/>
        <v>#N/A</v>
      </c>
    </row>
    <row r="880" spans="7:8" x14ac:dyDescent="0.25">
      <c r="G880">
        <f t="shared" si="28"/>
        <v>0</v>
      </c>
      <c r="H880" t="e">
        <f t="shared" si="29"/>
        <v>#N/A</v>
      </c>
    </row>
    <row r="881" spans="7:8" x14ac:dyDescent="0.25">
      <c r="G881">
        <f t="shared" si="28"/>
        <v>0</v>
      </c>
      <c r="H881" t="e">
        <f t="shared" si="29"/>
        <v>#N/A</v>
      </c>
    </row>
    <row r="882" spans="7:8" x14ac:dyDescent="0.25">
      <c r="G882">
        <f t="shared" si="28"/>
        <v>0</v>
      </c>
      <c r="H882" t="e">
        <f t="shared" si="29"/>
        <v>#N/A</v>
      </c>
    </row>
    <row r="883" spans="7:8" x14ac:dyDescent="0.25">
      <c r="G883">
        <f t="shared" si="28"/>
        <v>0</v>
      </c>
      <c r="H883" t="e">
        <f t="shared" si="29"/>
        <v>#N/A</v>
      </c>
    </row>
    <row r="884" spans="7:8" x14ac:dyDescent="0.25">
      <c r="G884">
        <f t="shared" si="28"/>
        <v>0</v>
      </c>
      <c r="H884" t="e">
        <f t="shared" si="29"/>
        <v>#N/A</v>
      </c>
    </row>
    <row r="885" spans="7:8" x14ac:dyDescent="0.25">
      <c r="G885">
        <f t="shared" si="28"/>
        <v>0</v>
      </c>
      <c r="H885" t="e">
        <f t="shared" si="29"/>
        <v>#N/A</v>
      </c>
    </row>
    <row r="886" spans="7:8" x14ac:dyDescent="0.25">
      <c r="G886">
        <f t="shared" si="28"/>
        <v>0</v>
      </c>
      <c r="H886" t="e">
        <f t="shared" si="29"/>
        <v>#N/A</v>
      </c>
    </row>
    <row r="887" spans="7:8" x14ac:dyDescent="0.25">
      <c r="G887">
        <f t="shared" si="28"/>
        <v>0</v>
      </c>
      <c r="H887" t="e">
        <f t="shared" si="29"/>
        <v>#N/A</v>
      </c>
    </row>
    <row r="888" spans="7:8" x14ac:dyDescent="0.25">
      <c r="G888">
        <f t="shared" si="28"/>
        <v>0</v>
      </c>
      <c r="H888" t="e">
        <f t="shared" si="29"/>
        <v>#N/A</v>
      </c>
    </row>
    <row r="889" spans="7:8" x14ac:dyDescent="0.25">
      <c r="G889">
        <f t="shared" si="28"/>
        <v>0</v>
      </c>
      <c r="H889" t="e">
        <f t="shared" si="29"/>
        <v>#N/A</v>
      </c>
    </row>
    <row r="890" spans="7:8" x14ac:dyDescent="0.25">
      <c r="G890">
        <f t="shared" si="28"/>
        <v>0</v>
      </c>
      <c r="H890" t="e">
        <f t="shared" si="29"/>
        <v>#N/A</v>
      </c>
    </row>
    <row r="891" spans="7:8" x14ac:dyDescent="0.25">
      <c r="G891">
        <f t="shared" si="28"/>
        <v>0</v>
      </c>
      <c r="H891" t="e">
        <f t="shared" si="29"/>
        <v>#N/A</v>
      </c>
    </row>
    <row r="892" spans="7:8" x14ac:dyDescent="0.25">
      <c r="G892">
        <f t="shared" si="28"/>
        <v>0</v>
      </c>
      <c r="H892" t="e">
        <f t="shared" si="29"/>
        <v>#N/A</v>
      </c>
    </row>
    <row r="893" spans="7:8" x14ac:dyDescent="0.25">
      <c r="G893">
        <f t="shared" si="28"/>
        <v>0</v>
      </c>
      <c r="H893" t="e">
        <f t="shared" si="29"/>
        <v>#N/A</v>
      </c>
    </row>
    <row r="894" spans="7:8" x14ac:dyDescent="0.25">
      <c r="G894">
        <f t="shared" si="28"/>
        <v>0</v>
      </c>
      <c r="H894" t="e">
        <f t="shared" si="29"/>
        <v>#N/A</v>
      </c>
    </row>
    <row r="895" spans="7:8" x14ac:dyDescent="0.25">
      <c r="G895">
        <f t="shared" si="28"/>
        <v>0</v>
      </c>
      <c r="H895" t="e">
        <f t="shared" si="29"/>
        <v>#N/A</v>
      </c>
    </row>
    <row r="896" spans="7:8" x14ac:dyDescent="0.25">
      <c r="G896">
        <f t="shared" si="28"/>
        <v>0</v>
      </c>
      <c r="H896" t="e">
        <f t="shared" si="29"/>
        <v>#N/A</v>
      </c>
    </row>
    <row r="897" spans="7:8" x14ac:dyDescent="0.25">
      <c r="G897">
        <f t="shared" si="28"/>
        <v>0</v>
      </c>
      <c r="H897" t="e">
        <f t="shared" si="29"/>
        <v>#N/A</v>
      </c>
    </row>
    <row r="898" spans="7:8" x14ac:dyDescent="0.25">
      <c r="G898">
        <f t="shared" si="28"/>
        <v>0</v>
      </c>
      <c r="H898" t="e">
        <f t="shared" si="29"/>
        <v>#N/A</v>
      </c>
    </row>
    <row r="899" spans="7:8" x14ac:dyDescent="0.25">
      <c r="G899">
        <f t="shared" ref="G899:G962" si="30">IF(OR($F899="SETTLING",$F899="READY"),NA(),$C899)</f>
        <v>0</v>
      </c>
      <c r="H899" t="e">
        <f t="shared" ref="H899:H962" si="31">IF($F899="SETTLING", $C899, NA())</f>
        <v>#N/A</v>
      </c>
    </row>
    <row r="900" spans="7:8" x14ac:dyDescent="0.25">
      <c r="G900">
        <f t="shared" si="30"/>
        <v>0</v>
      </c>
      <c r="H900" t="e">
        <f t="shared" si="31"/>
        <v>#N/A</v>
      </c>
    </row>
    <row r="901" spans="7:8" x14ac:dyDescent="0.25">
      <c r="G901">
        <f t="shared" si="30"/>
        <v>0</v>
      </c>
      <c r="H901" t="e">
        <f t="shared" si="31"/>
        <v>#N/A</v>
      </c>
    </row>
    <row r="902" spans="7:8" x14ac:dyDescent="0.25">
      <c r="G902">
        <f t="shared" si="30"/>
        <v>0</v>
      </c>
      <c r="H902" t="e">
        <f t="shared" si="31"/>
        <v>#N/A</v>
      </c>
    </row>
    <row r="903" spans="7:8" x14ac:dyDescent="0.25">
      <c r="G903">
        <f t="shared" si="30"/>
        <v>0</v>
      </c>
      <c r="H903" t="e">
        <f t="shared" si="31"/>
        <v>#N/A</v>
      </c>
    </row>
    <row r="904" spans="7:8" x14ac:dyDescent="0.25">
      <c r="G904">
        <f t="shared" si="30"/>
        <v>0</v>
      </c>
      <c r="H904" t="e">
        <f t="shared" si="31"/>
        <v>#N/A</v>
      </c>
    </row>
    <row r="905" spans="7:8" x14ac:dyDescent="0.25">
      <c r="G905">
        <f t="shared" si="30"/>
        <v>0</v>
      </c>
      <c r="H905" t="e">
        <f t="shared" si="31"/>
        <v>#N/A</v>
      </c>
    </row>
    <row r="906" spans="7:8" x14ac:dyDescent="0.25">
      <c r="G906">
        <f t="shared" si="30"/>
        <v>0</v>
      </c>
      <c r="H906" t="e">
        <f t="shared" si="31"/>
        <v>#N/A</v>
      </c>
    </row>
    <row r="907" spans="7:8" x14ac:dyDescent="0.25">
      <c r="G907">
        <f t="shared" si="30"/>
        <v>0</v>
      </c>
      <c r="H907" t="e">
        <f t="shared" si="31"/>
        <v>#N/A</v>
      </c>
    </row>
    <row r="908" spans="7:8" x14ac:dyDescent="0.25">
      <c r="G908">
        <f t="shared" si="30"/>
        <v>0</v>
      </c>
      <c r="H908" t="e">
        <f t="shared" si="31"/>
        <v>#N/A</v>
      </c>
    </row>
    <row r="909" spans="7:8" x14ac:dyDescent="0.25">
      <c r="G909">
        <f t="shared" si="30"/>
        <v>0</v>
      </c>
      <c r="H909" t="e">
        <f t="shared" si="31"/>
        <v>#N/A</v>
      </c>
    </row>
    <row r="910" spans="7:8" x14ac:dyDescent="0.25">
      <c r="G910">
        <f t="shared" si="30"/>
        <v>0</v>
      </c>
      <c r="H910" t="e">
        <f t="shared" si="31"/>
        <v>#N/A</v>
      </c>
    </row>
    <row r="911" spans="7:8" x14ac:dyDescent="0.25">
      <c r="G911">
        <f t="shared" si="30"/>
        <v>0</v>
      </c>
      <c r="H911" t="e">
        <f t="shared" si="31"/>
        <v>#N/A</v>
      </c>
    </row>
    <row r="912" spans="7:8" x14ac:dyDescent="0.25">
      <c r="G912">
        <f t="shared" si="30"/>
        <v>0</v>
      </c>
      <c r="H912" t="e">
        <f t="shared" si="31"/>
        <v>#N/A</v>
      </c>
    </row>
    <row r="913" spans="7:8" x14ac:dyDescent="0.25">
      <c r="G913">
        <f t="shared" si="30"/>
        <v>0</v>
      </c>
      <c r="H913" t="e">
        <f t="shared" si="31"/>
        <v>#N/A</v>
      </c>
    </row>
    <row r="914" spans="7:8" x14ac:dyDescent="0.25">
      <c r="G914">
        <f t="shared" si="30"/>
        <v>0</v>
      </c>
      <c r="H914" t="e">
        <f t="shared" si="31"/>
        <v>#N/A</v>
      </c>
    </row>
    <row r="915" spans="7:8" x14ac:dyDescent="0.25">
      <c r="G915">
        <f t="shared" si="30"/>
        <v>0</v>
      </c>
      <c r="H915" t="e">
        <f t="shared" si="31"/>
        <v>#N/A</v>
      </c>
    </row>
    <row r="916" spans="7:8" x14ac:dyDescent="0.25">
      <c r="G916">
        <f t="shared" si="30"/>
        <v>0</v>
      </c>
      <c r="H916" t="e">
        <f t="shared" si="31"/>
        <v>#N/A</v>
      </c>
    </row>
    <row r="917" spans="7:8" x14ac:dyDescent="0.25">
      <c r="G917">
        <f t="shared" si="30"/>
        <v>0</v>
      </c>
      <c r="H917" t="e">
        <f t="shared" si="31"/>
        <v>#N/A</v>
      </c>
    </row>
    <row r="918" spans="7:8" x14ac:dyDescent="0.25">
      <c r="G918">
        <f t="shared" si="30"/>
        <v>0</v>
      </c>
      <c r="H918" t="e">
        <f t="shared" si="31"/>
        <v>#N/A</v>
      </c>
    </row>
    <row r="919" spans="7:8" x14ac:dyDescent="0.25">
      <c r="G919">
        <f t="shared" si="30"/>
        <v>0</v>
      </c>
      <c r="H919" t="e">
        <f t="shared" si="31"/>
        <v>#N/A</v>
      </c>
    </row>
    <row r="920" spans="7:8" x14ac:dyDescent="0.25">
      <c r="G920">
        <f t="shared" si="30"/>
        <v>0</v>
      </c>
      <c r="H920" t="e">
        <f t="shared" si="31"/>
        <v>#N/A</v>
      </c>
    </row>
    <row r="921" spans="7:8" x14ac:dyDescent="0.25">
      <c r="G921">
        <f t="shared" si="30"/>
        <v>0</v>
      </c>
      <c r="H921" t="e">
        <f t="shared" si="31"/>
        <v>#N/A</v>
      </c>
    </row>
    <row r="922" spans="7:8" x14ac:dyDescent="0.25">
      <c r="G922">
        <f t="shared" si="30"/>
        <v>0</v>
      </c>
      <c r="H922" t="e">
        <f t="shared" si="31"/>
        <v>#N/A</v>
      </c>
    </row>
    <row r="923" spans="7:8" x14ac:dyDescent="0.25">
      <c r="G923">
        <f t="shared" si="30"/>
        <v>0</v>
      </c>
      <c r="H923" t="e">
        <f t="shared" si="31"/>
        <v>#N/A</v>
      </c>
    </row>
    <row r="924" spans="7:8" x14ac:dyDescent="0.25">
      <c r="G924">
        <f t="shared" si="30"/>
        <v>0</v>
      </c>
      <c r="H924" t="e">
        <f t="shared" si="31"/>
        <v>#N/A</v>
      </c>
    </row>
    <row r="925" spans="7:8" x14ac:dyDescent="0.25">
      <c r="G925">
        <f t="shared" si="30"/>
        <v>0</v>
      </c>
      <c r="H925" t="e">
        <f t="shared" si="31"/>
        <v>#N/A</v>
      </c>
    </row>
    <row r="926" spans="7:8" x14ac:dyDescent="0.25">
      <c r="G926">
        <f t="shared" si="30"/>
        <v>0</v>
      </c>
      <c r="H926" t="e">
        <f t="shared" si="31"/>
        <v>#N/A</v>
      </c>
    </row>
    <row r="927" spans="7:8" x14ac:dyDescent="0.25">
      <c r="G927">
        <f t="shared" si="30"/>
        <v>0</v>
      </c>
      <c r="H927" t="e">
        <f t="shared" si="31"/>
        <v>#N/A</v>
      </c>
    </row>
    <row r="928" spans="7:8" x14ac:dyDescent="0.25">
      <c r="G928">
        <f t="shared" si="30"/>
        <v>0</v>
      </c>
      <c r="H928" t="e">
        <f t="shared" si="31"/>
        <v>#N/A</v>
      </c>
    </row>
    <row r="929" spans="7:8" x14ac:dyDescent="0.25">
      <c r="G929">
        <f t="shared" si="30"/>
        <v>0</v>
      </c>
      <c r="H929" t="e">
        <f t="shared" si="31"/>
        <v>#N/A</v>
      </c>
    </row>
    <row r="930" spans="7:8" x14ac:dyDescent="0.25">
      <c r="G930">
        <f t="shared" si="30"/>
        <v>0</v>
      </c>
      <c r="H930" t="e">
        <f t="shared" si="31"/>
        <v>#N/A</v>
      </c>
    </row>
    <row r="931" spans="7:8" x14ac:dyDescent="0.25">
      <c r="G931">
        <f t="shared" si="30"/>
        <v>0</v>
      </c>
      <c r="H931" t="e">
        <f t="shared" si="31"/>
        <v>#N/A</v>
      </c>
    </row>
    <row r="932" spans="7:8" x14ac:dyDescent="0.25">
      <c r="G932">
        <f t="shared" si="30"/>
        <v>0</v>
      </c>
      <c r="H932" t="e">
        <f t="shared" si="31"/>
        <v>#N/A</v>
      </c>
    </row>
    <row r="933" spans="7:8" x14ac:dyDescent="0.25">
      <c r="G933">
        <f t="shared" si="30"/>
        <v>0</v>
      </c>
      <c r="H933" t="e">
        <f t="shared" si="31"/>
        <v>#N/A</v>
      </c>
    </row>
    <row r="934" spans="7:8" x14ac:dyDescent="0.25">
      <c r="G934">
        <f t="shared" si="30"/>
        <v>0</v>
      </c>
      <c r="H934" t="e">
        <f t="shared" si="31"/>
        <v>#N/A</v>
      </c>
    </row>
    <row r="935" spans="7:8" x14ac:dyDescent="0.25">
      <c r="G935">
        <f t="shared" si="30"/>
        <v>0</v>
      </c>
      <c r="H935" t="e">
        <f t="shared" si="31"/>
        <v>#N/A</v>
      </c>
    </row>
    <row r="936" spans="7:8" x14ac:dyDescent="0.25">
      <c r="G936">
        <f t="shared" si="30"/>
        <v>0</v>
      </c>
      <c r="H936" t="e">
        <f t="shared" si="31"/>
        <v>#N/A</v>
      </c>
    </row>
    <row r="937" spans="7:8" x14ac:dyDescent="0.25">
      <c r="G937">
        <f t="shared" si="30"/>
        <v>0</v>
      </c>
      <c r="H937" t="e">
        <f t="shared" si="31"/>
        <v>#N/A</v>
      </c>
    </row>
    <row r="938" spans="7:8" x14ac:dyDescent="0.25">
      <c r="G938">
        <f t="shared" si="30"/>
        <v>0</v>
      </c>
      <c r="H938" t="e">
        <f t="shared" si="31"/>
        <v>#N/A</v>
      </c>
    </row>
    <row r="939" spans="7:8" x14ac:dyDescent="0.25">
      <c r="G939">
        <f t="shared" si="30"/>
        <v>0</v>
      </c>
      <c r="H939" t="e">
        <f t="shared" si="31"/>
        <v>#N/A</v>
      </c>
    </row>
    <row r="940" spans="7:8" x14ac:dyDescent="0.25">
      <c r="G940">
        <f t="shared" si="30"/>
        <v>0</v>
      </c>
      <c r="H940" t="e">
        <f t="shared" si="31"/>
        <v>#N/A</v>
      </c>
    </row>
    <row r="941" spans="7:8" x14ac:dyDescent="0.25">
      <c r="G941">
        <f t="shared" si="30"/>
        <v>0</v>
      </c>
      <c r="H941" t="e">
        <f t="shared" si="31"/>
        <v>#N/A</v>
      </c>
    </row>
    <row r="942" spans="7:8" x14ac:dyDescent="0.25">
      <c r="G942">
        <f t="shared" si="30"/>
        <v>0</v>
      </c>
      <c r="H942" t="e">
        <f t="shared" si="31"/>
        <v>#N/A</v>
      </c>
    </row>
    <row r="943" spans="7:8" x14ac:dyDescent="0.25">
      <c r="G943">
        <f t="shared" si="30"/>
        <v>0</v>
      </c>
      <c r="H943" t="e">
        <f t="shared" si="31"/>
        <v>#N/A</v>
      </c>
    </row>
    <row r="944" spans="7:8" x14ac:dyDescent="0.25">
      <c r="G944">
        <f t="shared" si="30"/>
        <v>0</v>
      </c>
      <c r="H944" t="e">
        <f t="shared" si="31"/>
        <v>#N/A</v>
      </c>
    </row>
    <row r="945" spans="7:8" x14ac:dyDescent="0.25">
      <c r="G945">
        <f t="shared" si="30"/>
        <v>0</v>
      </c>
      <c r="H945" t="e">
        <f t="shared" si="31"/>
        <v>#N/A</v>
      </c>
    </row>
    <row r="946" spans="7:8" x14ac:dyDescent="0.25">
      <c r="G946">
        <f t="shared" si="30"/>
        <v>0</v>
      </c>
      <c r="H946" t="e">
        <f t="shared" si="31"/>
        <v>#N/A</v>
      </c>
    </row>
    <row r="947" spans="7:8" x14ac:dyDescent="0.25">
      <c r="G947">
        <f t="shared" si="30"/>
        <v>0</v>
      </c>
      <c r="H947" t="e">
        <f t="shared" si="31"/>
        <v>#N/A</v>
      </c>
    </row>
    <row r="948" spans="7:8" x14ac:dyDescent="0.25">
      <c r="G948">
        <f t="shared" si="30"/>
        <v>0</v>
      </c>
      <c r="H948" t="e">
        <f t="shared" si="31"/>
        <v>#N/A</v>
      </c>
    </row>
    <row r="949" spans="7:8" x14ac:dyDescent="0.25">
      <c r="G949">
        <f t="shared" si="30"/>
        <v>0</v>
      </c>
      <c r="H949" t="e">
        <f t="shared" si="31"/>
        <v>#N/A</v>
      </c>
    </row>
    <row r="950" spans="7:8" x14ac:dyDescent="0.25">
      <c r="G950">
        <f t="shared" si="30"/>
        <v>0</v>
      </c>
      <c r="H950" t="e">
        <f t="shared" si="31"/>
        <v>#N/A</v>
      </c>
    </row>
    <row r="951" spans="7:8" x14ac:dyDescent="0.25">
      <c r="G951">
        <f t="shared" si="30"/>
        <v>0</v>
      </c>
      <c r="H951" t="e">
        <f t="shared" si="31"/>
        <v>#N/A</v>
      </c>
    </row>
    <row r="952" spans="7:8" x14ac:dyDescent="0.25">
      <c r="G952">
        <f t="shared" si="30"/>
        <v>0</v>
      </c>
      <c r="H952" t="e">
        <f t="shared" si="31"/>
        <v>#N/A</v>
      </c>
    </row>
    <row r="953" spans="7:8" x14ac:dyDescent="0.25">
      <c r="G953">
        <f t="shared" si="30"/>
        <v>0</v>
      </c>
      <c r="H953" t="e">
        <f t="shared" si="31"/>
        <v>#N/A</v>
      </c>
    </row>
    <row r="954" spans="7:8" x14ac:dyDescent="0.25">
      <c r="G954">
        <f t="shared" si="30"/>
        <v>0</v>
      </c>
      <c r="H954" t="e">
        <f t="shared" si="31"/>
        <v>#N/A</v>
      </c>
    </row>
    <row r="955" spans="7:8" x14ac:dyDescent="0.25">
      <c r="G955">
        <f t="shared" si="30"/>
        <v>0</v>
      </c>
      <c r="H955" t="e">
        <f t="shared" si="31"/>
        <v>#N/A</v>
      </c>
    </row>
    <row r="956" spans="7:8" x14ac:dyDescent="0.25">
      <c r="G956">
        <f t="shared" si="30"/>
        <v>0</v>
      </c>
      <c r="H956" t="e">
        <f t="shared" si="31"/>
        <v>#N/A</v>
      </c>
    </row>
    <row r="957" spans="7:8" x14ac:dyDescent="0.25">
      <c r="G957">
        <f t="shared" si="30"/>
        <v>0</v>
      </c>
      <c r="H957" t="e">
        <f t="shared" si="31"/>
        <v>#N/A</v>
      </c>
    </row>
    <row r="958" spans="7:8" x14ac:dyDescent="0.25">
      <c r="G958">
        <f t="shared" si="30"/>
        <v>0</v>
      </c>
      <c r="H958" t="e">
        <f t="shared" si="31"/>
        <v>#N/A</v>
      </c>
    </row>
    <row r="959" spans="7:8" x14ac:dyDescent="0.25">
      <c r="G959">
        <f t="shared" si="30"/>
        <v>0</v>
      </c>
      <c r="H959" t="e">
        <f t="shared" si="31"/>
        <v>#N/A</v>
      </c>
    </row>
    <row r="960" spans="7:8" x14ac:dyDescent="0.25">
      <c r="G960">
        <f t="shared" si="30"/>
        <v>0</v>
      </c>
      <c r="H960" t="e">
        <f t="shared" si="31"/>
        <v>#N/A</v>
      </c>
    </row>
    <row r="961" spans="7:8" x14ac:dyDescent="0.25">
      <c r="G961">
        <f t="shared" si="30"/>
        <v>0</v>
      </c>
      <c r="H961" t="e">
        <f t="shared" si="31"/>
        <v>#N/A</v>
      </c>
    </row>
    <row r="962" spans="7:8" x14ac:dyDescent="0.25">
      <c r="G962">
        <f t="shared" si="30"/>
        <v>0</v>
      </c>
      <c r="H962" t="e">
        <f t="shared" si="31"/>
        <v>#N/A</v>
      </c>
    </row>
    <row r="963" spans="7:8" x14ac:dyDescent="0.25">
      <c r="G963">
        <f t="shared" ref="G963:G967" si="32">IF(OR($F963="SETTLING",$F963="READY"),NA(),$C963)</f>
        <v>0</v>
      </c>
      <c r="H963" t="e">
        <f t="shared" ref="H963:H967" si="33">IF($F963="SETTLING", $C963, NA())</f>
        <v>#N/A</v>
      </c>
    </row>
    <row r="964" spans="7:8" x14ac:dyDescent="0.25">
      <c r="G964">
        <f t="shared" si="32"/>
        <v>0</v>
      </c>
      <c r="H964" t="e">
        <f t="shared" si="33"/>
        <v>#N/A</v>
      </c>
    </row>
    <row r="965" spans="7:8" x14ac:dyDescent="0.25">
      <c r="G965">
        <f t="shared" si="32"/>
        <v>0</v>
      </c>
      <c r="H965" t="e">
        <f t="shared" si="33"/>
        <v>#N/A</v>
      </c>
    </row>
    <row r="966" spans="7:8" x14ac:dyDescent="0.25">
      <c r="G966">
        <f t="shared" si="32"/>
        <v>0</v>
      </c>
      <c r="H966" t="e">
        <f t="shared" si="33"/>
        <v>#N/A</v>
      </c>
    </row>
    <row r="967" spans="7:8" x14ac:dyDescent="0.25">
      <c r="G967">
        <f t="shared" si="32"/>
        <v>0</v>
      </c>
      <c r="H967" t="e">
        <f t="shared" si="33"/>
        <v>#N/A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2026-09-04__14-31-11_full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Sherlock, Ben</dc:creator>
  <cp:lastModifiedBy>Sherlock, Ben</cp:lastModifiedBy>
  <dcterms:created xsi:type="dcterms:W3CDTF">2026-09-04T16:35:19Z</dcterms:created>
  <dcterms:modified xsi:type="dcterms:W3CDTF">2026-09-07T11:10:18Z</dcterms:modified>
</cp:coreProperties>
</file>